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ar/Downloads/"/>
    </mc:Choice>
  </mc:AlternateContent>
  <xr:revisionPtr revIDLastSave="0" documentId="13_ncr:1_{1E73DB44-8CC6-4C46-8CCD-471B45A2DFFF}" xr6:coauthVersionLast="47" xr6:coauthVersionMax="47" xr10:uidLastSave="{00000000-0000-0000-0000-000000000000}"/>
  <bookViews>
    <workbookView xWindow="14100" yWindow="500" windowWidth="25640" windowHeight="19840" activeTab="3" xr2:uid="{5A411C28-E500-4223-B9DA-FD47BA1C66E3}"/>
  </bookViews>
  <sheets>
    <sheet name="722講義室" sheetId="2" r:id="rId1"/>
    <sheet name="731講義室" sheetId="9" r:id="rId2"/>
    <sheet name="732講義室" sheetId="10" r:id="rId3"/>
    <sheet name="733講義室" sheetId="11" r:id="rId4"/>
    <sheet name="まとめ" sheetId="1" state="hidden" r:id="rId5"/>
    <sheet name="発表順" sheetId="7" state="hidden" r:id="rId6"/>
    <sheet name="プルダウン用隠し" sheetId="8"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 i="11" l="1"/>
  <c r="H3" i="11"/>
  <c r="G4" i="11"/>
  <c r="H4" i="11"/>
  <c r="G5" i="11"/>
  <c r="H5" i="11"/>
  <c r="G6" i="11"/>
  <c r="H6" i="11"/>
  <c r="G7" i="11"/>
  <c r="H7" i="11"/>
  <c r="G8" i="11"/>
  <c r="H8" i="11"/>
  <c r="G9" i="11"/>
  <c r="H9" i="11"/>
  <c r="G10" i="11"/>
  <c r="H10" i="11"/>
  <c r="G11" i="11"/>
  <c r="H11" i="11"/>
  <c r="G12" i="11"/>
  <c r="H12" i="11"/>
  <c r="G13" i="11"/>
  <c r="H13" i="11"/>
  <c r="G14" i="11"/>
  <c r="H14" i="11"/>
  <c r="G15" i="11"/>
  <c r="H15" i="11"/>
  <c r="G16" i="11"/>
  <c r="H16" i="11"/>
  <c r="G17" i="11"/>
  <c r="H17" i="11"/>
  <c r="G18" i="11"/>
  <c r="H18" i="11"/>
  <c r="G19" i="11"/>
  <c r="H19" i="11"/>
  <c r="G20" i="11"/>
  <c r="H20" i="11"/>
  <c r="G21" i="11"/>
  <c r="H21" i="11"/>
  <c r="G22" i="11"/>
  <c r="H22" i="11"/>
  <c r="G23" i="11"/>
  <c r="H23" i="11"/>
  <c r="G24" i="11"/>
  <c r="H24" i="11"/>
  <c r="G25" i="11"/>
  <c r="H25" i="11"/>
  <c r="G26" i="11"/>
  <c r="H26" i="11"/>
  <c r="G27" i="11"/>
  <c r="H27" i="11"/>
  <c r="G28" i="11"/>
  <c r="H28" i="11"/>
  <c r="H2" i="11"/>
  <c r="G2" i="11"/>
  <c r="B26" i="11"/>
  <c r="B20" i="11"/>
  <c r="B23" i="11"/>
  <c r="B17" i="11"/>
  <c r="B5" i="11"/>
  <c r="B8" i="11"/>
  <c r="B11" i="11"/>
  <c r="B14" i="11"/>
  <c r="B2" i="11"/>
  <c r="G3" i="10"/>
  <c r="H3" i="10"/>
  <c r="G4" i="10"/>
  <c r="H4" i="10"/>
  <c r="G5" i="10"/>
  <c r="H5" i="10"/>
  <c r="G6" i="10"/>
  <c r="H6" i="10"/>
  <c r="G7" i="10"/>
  <c r="H7" i="10"/>
  <c r="G8" i="10"/>
  <c r="H8" i="10"/>
  <c r="G9" i="10"/>
  <c r="H9" i="10"/>
  <c r="G10" i="10"/>
  <c r="H10" i="10"/>
  <c r="G11" i="10"/>
  <c r="H11" i="10"/>
  <c r="G12" i="10"/>
  <c r="H12" i="10"/>
  <c r="G13" i="10"/>
  <c r="H13" i="10"/>
  <c r="G14" i="10"/>
  <c r="H14" i="10"/>
  <c r="G15" i="10"/>
  <c r="H15" i="10"/>
  <c r="G16" i="10"/>
  <c r="H16" i="10"/>
  <c r="G17" i="10"/>
  <c r="H17" i="10"/>
  <c r="G18" i="10"/>
  <c r="H18" i="10"/>
  <c r="G19" i="10"/>
  <c r="H19" i="10"/>
  <c r="G20" i="10"/>
  <c r="H20" i="10"/>
  <c r="G21" i="10"/>
  <c r="H21" i="10"/>
  <c r="G22" i="10"/>
  <c r="H22" i="10"/>
  <c r="G23" i="10"/>
  <c r="H23" i="10"/>
  <c r="G24" i="10"/>
  <c r="H24" i="10"/>
  <c r="G25" i="10"/>
  <c r="H25" i="10"/>
  <c r="G26" i="10"/>
  <c r="H26" i="10"/>
  <c r="G27" i="10"/>
  <c r="H27" i="10"/>
  <c r="G28" i="10"/>
  <c r="H28" i="10"/>
  <c r="G29" i="10"/>
  <c r="H29" i="10"/>
  <c r="G30" i="10"/>
  <c r="H30" i="10"/>
  <c r="G31" i="10"/>
  <c r="H31" i="10"/>
  <c r="G32" i="10"/>
  <c r="H32" i="10"/>
  <c r="G33" i="10"/>
  <c r="H33" i="10"/>
  <c r="G34" i="10"/>
  <c r="H34" i="10"/>
  <c r="H2" i="10"/>
  <c r="G2" i="10"/>
  <c r="B5" i="10"/>
  <c r="B8" i="10"/>
  <c r="B11" i="10"/>
  <c r="B14" i="10"/>
  <c r="B17" i="10"/>
  <c r="B20" i="10"/>
  <c r="B23" i="10"/>
  <c r="B26" i="10"/>
  <c r="B29" i="10"/>
  <c r="B32" i="10"/>
  <c r="B2" i="10"/>
  <c r="G3" i="9"/>
  <c r="H3" i="9"/>
  <c r="G4" i="9"/>
  <c r="H4" i="9"/>
  <c r="G5" i="9"/>
  <c r="H5" i="9"/>
  <c r="G6" i="9"/>
  <c r="H6" i="9"/>
  <c r="G7" i="9"/>
  <c r="H7" i="9"/>
  <c r="G8" i="9"/>
  <c r="H8" i="9"/>
  <c r="G9" i="9"/>
  <c r="H9" i="9"/>
  <c r="G10" i="9"/>
  <c r="H10" i="9"/>
  <c r="G11" i="9"/>
  <c r="H11" i="9"/>
  <c r="G12" i="9"/>
  <c r="H12" i="9"/>
  <c r="G13" i="9"/>
  <c r="H13" i="9"/>
  <c r="G14" i="9"/>
  <c r="H14" i="9"/>
  <c r="G15" i="9"/>
  <c r="H15" i="9"/>
  <c r="G16" i="9"/>
  <c r="H16" i="9"/>
  <c r="G17" i="9"/>
  <c r="H17" i="9"/>
  <c r="G18" i="9"/>
  <c r="H18" i="9"/>
  <c r="G19" i="9"/>
  <c r="H19" i="9"/>
  <c r="G20" i="9"/>
  <c r="H20" i="9"/>
  <c r="G21" i="9"/>
  <c r="H21" i="9"/>
  <c r="G22" i="9"/>
  <c r="H22" i="9"/>
  <c r="G23" i="9"/>
  <c r="H23" i="9"/>
  <c r="G24" i="9"/>
  <c r="H24" i="9"/>
  <c r="G25" i="9"/>
  <c r="H25" i="9"/>
  <c r="G26" i="9"/>
  <c r="H26" i="9"/>
  <c r="G27" i="9"/>
  <c r="H27" i="9"/>
  <c r="G28" i="9"/>
  <c r="H28" i="9"/>
  <c r="G29" i="9"/>
  <c r="H29" i="9"/>
  <c r="G30" i="9"/>
  <c r="H30" i="9"/>
  <c r="G31" i="9"/>
  <c r="H31" i="9"/>
  <c r="G32" i="9"/>
  <c r="H32" i="9"/>
  <c r="G33" i="9"/>
  <c r="H33" i="9"/>
  <c r="G34" i="9"/>
  <c r="H34" i="9"/>
  <c r="H2" i="9"/>
  <c r="G2" i="9"/>
  <c r="B5" i="9"/>
  <c r="B8" i="9"/>
  <c r="B11" i="9"/>
  <c r="B14" i="9"/>
  <c r="B17" i="9"/>
  <c r="B20" i="9"/>
  <c r="B23" i="9"/>
  <c r="B26" i="9"/>
  <c r="B29" i="9"/>
  <c r="B32" i="9"/>
  <c r="B2" i="9"/>
  <c r="B5" i="2"/>
  <c r="B8" i="2"/>
  <c r="B11" i="2"/>
  <c r="B14" i="2"/>
  <c r="B17" i="2"/>
  <c r="B20" i="2"/>
  <c r="B23" i="2"/>
  <c r="B26" i="2"/>
  <c r="B29" i="2"/>
  <c r="B32" i="2"/>
  <c r="B2" i="2"/>
  <c r="G3" i="2"/>
  <c r="H3" i="2"/>
  <c r="G4" i="2"/>
  <c r="H4" i="2"/>
  <c r="G5" i="2"/>
  <c r="H5" i="2"/>
  <c r="G6" i="2"/>
  <c r="H6" i="2"/>
  <c r="G7" i="2"/>
  <c r="H7" i="2"/>
  <c r="G8" i="2"/>
  <c r="H8" i="2"/>
  <c r="G9" i="2"/>
  <c r="H9" i="2"/>
  <c r="G10" i="2"/>
  <c r="H10" i="2"/>
  <c r="G11" i="2"/>
  <c r="H11" i="2"/>
  <c r="G12" i="2"/>
  <c r="H12" i="2"/>
  <c r="G13" i="2"/>
  <c r="H13" i="2"/>
  <c r="G14" i="2"/>
  <c r="H14" i="2"/>
  <c r="G15" i="2"/>
  <c r="H15" i="2"/>
  <c r="G16" i="2"/>
  <c r="H16" i="2"/>
  <c r="G17" i="2"/>
  <c r="H17" i="2"/>
  <c r="G18" i="2"/>
  <c r="H18" i="2"/>
  <c r="G19" i="2"/>
  <c r="H19" i="2"/>
  <c r="G20" i="2"/>
  <c r="H20" i="2"/>
  <c r="G21" i="2"/>
  <c r="H21" i="2"/>
  <c r="G22" i="2"/>
  <c r="H22" i="2"/>
  <c r="G23" i="2"/>
  <c r="H23" i="2"/>
  <c r="G24" i="2"/>
  <c r="H24" i="2"/>
  <c r="G25" i="2"/>
  <c r="H25" i="2"/>
  <c r="G26" i="2"/>
  <c r="H26" i="2"/>
  <c r="G27" i="2"/>
  <c r="H27" i="2"/>
  <c r="G28" i="2"/>
  <c r="H28" i="2"/>
  <c r="G29" i="2"/>
  <c r="H29" i="2"/>
  <c r="G30" i="2"/>
  <c r="H30" i="2"/>
  <c r="G31" i="2"/>
  <c r="H31" i="2"/>
  <c r="G32" i="2"/>
  <c r="H32" i="2"/>
  <c r="G33" i="2"/>
  <c r="H33" i="2"/>
  <c r="G34" i="2"/>
  <c r="H34" i="2"/>
  <c r="H2" i="2"/>
  <c r="G2" i="2"/>
  <c r="K3" i="1" l="1"/>
  <c r="R3" i="1" s="1"/>
  <c r="I3" i="1"/>
  <c r="P3" i="1" s="1"/>
  <c r="J36" i="1"/>
  <c r="Q36" i="1" s="1"/>
  <c r="I115" i="1"/>
  <c r="P115" i="1" s="1"/>
  <c r="H4" i="1"/>
  <c r="N4" i="1" s="1"/>
  <c r="I68" i="1"/>
  <c r="P68" i="1" s="1"/>
  <c r="M3" i="1"/>
  <c r="T3" i="1" s="1"/>
  <c r="J70" i="1"/>
  <c r="Q70" i="1" s="1"/>
  <c r="I4" i="1"/>
  <c r="P4" i="1" s="1"/>
  <c r="J17" i="1"/>
  <c r="Q17" i="1" s="1"/>
  <c r="H44" i="1"/>
  <c r="N44" i="1" s="1"/>
  <c r="J7" i="1"/>
  <c r="Q7" i="1" s="1"/>
  <c r="K75" i="1"/>
  <c r="R75" i="1" s="1"/>
  <c r="K100" i="1"/>
  <c r="R100" i="1" s="1"/>
  <c r="H75" i="1"/>
  <c r="K36" i="1"/>
  <c r="R36" i="1" s="1"/>
  <c r="K7" i="1"/>
  <c r="R7" i="1" s="1"/>
  <c r="H90" i="1"/>
  <c r="O90" i="1" s="1" a="1"/>
  <c r="O90" i="1" s="1"/>
  <c r="H69" i="1"/>
  <c r="N69" i="1" s="1"/>
  <c r="I36" i="1"/>
  <c r="P36" i="1" s="1"/>
  <c r="M43" i="1"/>
  <c r="T43" i="1" s="1"/>
  <c r="M39" i="1"/>
  <c r="T39" i="1" s="1"/>
  <c r="I5" i="1"/>
  <c r="P5" i="1" s="1"/>
  <c r="L54" i="1"/>
  <c r="S54" i="1" s="1"/>
  <c r="H95" i="1"/>
  <c r="N95" i="1" s="1"/>
  <c r="I31" i="1"/>
  <c r="P31" i="1" s="1"/>
  <c r="K54" i="1"/>
  <c r="R54" i="1" s="1"/>
  <c r="H28" i="1"/>
  <c r="O28" i="1" s="1" a="1"/>
  <c r="O28" i="1" s="1"/>
  <c r="M11" i="1"/>
  <c r="T11" i="1" s="1"/>
  <c r="H35" i="1"/>
  <c r="H39" i="1"/>
  <c r="M94" i="1"/>
  <c r="T94" i="1" s="1"/>
  <c r="M114" i="1"/>
  <c r="T114" i="1" s="1"/>
  <c r="J16" i="1"/>
  <c r="Q16" i="1" s="1"/>
  <c r="I16" i="1"/>
  <c r="P16" i="1" s="1"/>
  <c r="H16" i="1"/>
  <c r="N16" i="1" s="1"/>
  <c r="M40" i="1"/>
  <c r="T40" i="1" s="1"/>
  <c r="J115" i="1"/>
  <c r="Q115" i="1" s="1"/>
  <c r="M12" i="1"/>
  <c r="T12" i="1" s="1"/>
  <c r="J95" i="1"/>
  <c r="Q95" i="1" s="1"/>
  <c r="L90" i="1"/>
  <c r="S90" i="1" s="1"/>
  <c r="H12" i="1"/>
  <c r="N12" i="1" s="1"/>
  <c r="L66" i="1"/>
  <c r="S66" i="1" s="1"/>
  <c r="J11" i="1"/>
  <c r="Q11" i="1" s="1"/>
  <c r="I35" i="1"/>
  <c r="P35" i="1" s="1"/>
  <c r="K38" i="1"/>
  <c r="R38" i="1" s="1"/>
  <c r="J90" i="1"/>
  <c r="Q90" i="1" s="1"/>
  <c r="K114" i="1"/>
  <c r="R114" i="1" s="1"/>
  <c r="K27" i="1"/>
  <c r="R27" i="1" s="1"/>
  <c r="M53" i="1"/>
  <c r="T53" i="1" s="1"/>
  <c r="H2" i="1"/>
  <c r="N2" i="1" s="1"/>
  <c r="J24" i="1"/>
  <c r="Q24" i="1" s="1"/>
  <c r="H11" i="1"/>
  <c r="N11" i="1" s="1"/>
  <c r="J35" i="1"/>
  <c r="Q35" i="1" s="1"/>
  <c r="J38" i="1"/>
  <c r="Q38" i="1" s="1"/>
  <c r="I90" i="1"/>
  <c r="P90" i="1" s="1"/>
  <c r="J114" i="1"/>
  <c r="Q114" i="1" s="1"/>
  <c r="I7" i="1"/>
  <c r="P7" i="1" s="1"/>
  <c r="J39" i="1"/>
  <c r="Q39" i="1" s="1"/>
  <c r="H32" i="1"/>
  <c r="N32" i="1" s="1"/>
  <c r="L104" i="1"/>
  <c r="S104" i="1" s="1"/>
  <c r="I39" i="1"/>
  <c r="P39" i="1" s="1"/>
  <c r="J54" i="1"/>
  <c r="Q54" i="1" s="1"/>
  <c r="I2" i="1"/>
  <c r="P2" i="1" s="1"/>
  <c r="K35" i="1"/>
  <c r="R35" i="1" s="1"/>
  <c r="I23" i="1"/>
  <c r="P23" i="1" s="1"/>
  <c r="H41" i="1"/>
  <c r="N41" i="1" s="1"/>
  <c r="J2" i="1"/>
  <c r="Q2" i="1" s="1"/>
  <c r="J20" i="1"/>
  <c r="Q20" i="1" s="1"/>
  <c r="H8" i="1"/>
  <c r="N8" i="1" s="1"/>
  <c r="M35" i="1"/>
  <c r="T35" i="1" s="1"/>
  <c r="H38" i="1"/>
  <c r="H84" i="1"/>
  <c r="N84" i="1" s="1"/>
  <c r="H7" i="1"/>
  <c r="N7" i="1" s="1"/>
  <c r="I6" i="1"/>
  <c r="P6" i="1" s="1"/>
  <c r="M115" i="1"/>
  <c r="T115" i="1" s="1"/>
  <c r="M14" i="1"/>
  <c r="T14" i="1" s="1"/>
  <c r="L16" i="1"/>
  <c r="S16" i="1" s="1"/>
  <c r="I28" i="1"/>
  <c r="P28" i="1" s="1"/>
  <c r="H115" i="1"/>
  <c r="N115" i="1" s="1"/>
  <c r="M27" i="1"/>
  <c r="T27" i="1" s="1"/>
  <c r="H25" i="1"/>
  <c r="N25" i="1" s="1"/>
  <c r="J27" i="1"/>
  <c r="Q27" i="1" s="1"/>
  <c r="K8" i="1"/>
  <c r="R8" i="1" s="1"/>
  <c r="I38" i="1"/>
  <c r="P38" i="1" s="1"/>
  <c r="I114" i="1"/>
  <c r="P114" i="1" s="1"/>
  <c r="K2" i="1"/>
  <c r="R2" i="1" s="1"/>
  <c r="I20" i="1"/>
  <c r="P20" i="1" s="1"/>
  <c r="M7" i="1"/>
  <c r="T7" i="1" s="1"/>
  <c r="J49" i="1"/>
  <c r="Q49" i="1" s="1"/>
  <c r="K37" i="1"/>
  <c r="R37" i="1" s="1"/>
  <c r="M83" i="1"/>
  <c r="T83" i="1" s="1"/>
  <c r="J5" i="1"/>
  <c r="Q5" i="1" s="1"/>
  <c r="H3" i="1"/>
  <c r="N3" i="1" s="1"/>
  <c r="M59" i="1"/>
  <c r="T59" i="1" s="1"/>
  <c r="H107" i="1"/>
  <c r="N107" i="1" s="1"/>
  <c r="H5" i="1"/>
  <c r="N5" i="1" s="1"/>
  <c r="L124" i="1"/>
  <c r="S124" i="1" s="1"/>
  <c r="J48" i="1"/>
  <c r="Q48" i="1" s="1"/>
  <c r="M20" i="1"/>
  <c r="T20" i="1" s="1"/>
  <c r="L56" i="1"/>
  <c r="S56" i="1" s="1"/>
  <c r="M2" i="1"/>
  <c r="T2" i="1" s="1"/>
  <c r="M19" i="1"/>
  <c r="T19" i="1" s="1"/>
  <c r="I49" i="1"/>
  <c r="P49" i="1" s="1"/>
  <c r="H37" i="1"/>
  <c r="O37" i="1" s="1" a="1"/>
  <c r="O37" i="1" s="1"/>
  <c r="J76" i="1"/>
  <c r="Q76" i="1" s="1"/>
  <c r="K16" i="1"/>
  <c r="R16" i="1" s="1"/>
  <c r="K44" i="1"/>
  <c r="R44" i="1" s="1"/>
  <c r="O41" i="1" a="1"/>
  <c r="O41" i="1" s="1"/>
  <c r="L59" i="1"/>
  <c r="S59" i="1" s="1"/>
  <c r="L110" i="1"/>
  <c r="S110" i="1" s="1"/>
  <c r="L10" i="1"/>
  <c r="S10" i="1" s="1"/>
  <c r="L17" i="1"/>
  <c r="S17" i="1" s="1"/>
  <c r="L8" i="1"/>
  <c r="S8" i="1" s="1"/>
  <c r="L4" i="1"/>
  <c r="S4" i="1" s="1"/>
  <c r="L9" i="1"/>
  <c r="S9" i="1" s="1"/>
  <c r="L26" i="1"/>
  <c r="S26" i="1" s="1"/>
  <c r="L31" i="1"/>
  <c r="S31" i="1" s="1"/>
  <c r="L6" i="1"/>
  <c r="S6" i="1" s="1"/>
  <c r="L20" i="1"/>
  <c r="S20" i="1" s="1"/>
  <c r="L27" i="1"/>
  <c r="S27" i="1" s="1"/>
  <c r="L30" i="1"/>
  <c r="S30" i="1" s="1"/>
  <c r="L33" i="1"/>
  <c r="S33" i="1" s="1"/>
  <c r="L2" i="1"/>
  <c r="S2" i="1" s="1"/>
  <c r="L34" i="1"/>
  <c r="S34" i="1" s="1"/>
  <c r="L23" i="1"/>
  <c r="S23" i="1" s="1"/>
  <c r="K48" i="1"/>
  <c r="R48" i="1" s="1"/>
  <c r="L94" i="1"/>
  <c r="S94" i="1" s="1"/>
  <c r="M101" i="1"/>
  <c r="T101" i="1" s="1"/>
  <c r="K110" i="1"/>
  <c r="R110" i="1" s="1"/>
  <c r="K23" i="1"/>
  <c r="R23" i="1" s="1"/>
  <c r="L11" i="1"/>
  <c r="S11" i="1" s="1"/>
  <c r="J53" i="1"/>
  <c r="Q53" i="1" s="1"/>
  <c r="K99" i="1"/>
  <c r="R99" i="1" s="1"/>
  <c r="L117" i="1"/>
  <c r="S117" i="1" s="1"/>
  <c r="L101" i="1"/>
  <c r="S101" i="1" s="1"/>
  <c r="L108" i="1"/>
  <c r="S108" i="1" s="1"/>
  <c r="L115" i="1"/>
  <c r="S115" i="1" s="1"/>
  <c r="L122" i="1"/>
  <c r="S122" i="1" s="1"/>
  <c r="L129" i="1"/>
  <c r="S129" i="1" s="1"/>
  <c r="L136" i="1"/>
  <c r="S136" i="1" s="1"/>
  <c r="L106" i="1"/>
  <c r="S106" i="1" s="1"/>
  <c r="L113" i="1"/>
  <c r="S113" i="1" s="1"/>
  <c r="L120" i="1"/>
  <c r="S120" i="1" s="1"/>
  <c r="L127" i="1"/>
  <c r="S127" i="1" s="1"/>
  <c r="L134" i="1"/>
  <c r="S134" i="1" s="1"/>
  <c r="L109" i="1"/>
  <c r="S109" i="1" s="1"/>
  <c r="L112" i="1"/>
  <c r="S112" i="1" s="1"/>
  <c r="L132" i="1"/>
  <c r="S132" i="1" s="1"/>
  <c r="L135" i="1"/>
  <c r="S135" i="1" s="1"/>
  <c r="L138" i="1"/>
  <c r="S138" i="1" s="1"/>
  <c r="L103" i="1"/>
  <c r="S103" i="1" s="1"/>
  <c r="L123" i="1"/>
  <c r="S123" i="1" s="1"/>
  <c r="L126" i="1"/>
  <c r="S126" i="1" s="1"/>
  <c r="L125" i="1"/>
  <c r="S125" i="1" s="1"/>
  <c r="L121" i="1"/>
  <c r="S121" i="1" s="1"/>
  <c r="L116" i="1"/>
  <c r="S116" i="1" s="1"/>
  <c r="L140" i="1"/>
  <c r="S140" i="1" s="1"/>
  <c r="L102" i="1"/>
  <c r="S102" i="1" s="1"/>
  <c r="L107" i="1"/>
  <c r="S107" i="1" s="1"/>
  <c r="L105" i="1"/>
  <c r="S105" i="1" s="1"/>
  <c r="L114" i="1"/>
  <c r="S114" i="1" s="1"/>
  <c r="J30" i="1"/>
  <c r="Q30" i="1" s="1"/>
  <c r="L42" i="1"/>
  <c r="S42" i="1" s="1"/>
  <c r="I30" i="1"/>
  <c r="P30" i="1" s="1"/>
  <c r="I19" i="1"/>
  <c r="P19" i="1" s="1"/>
  <c r="L87" i="1"/>
  <c r="S87" i="1" s="1"/>
  <c r="I33" i="1"/>
  <c r="P33" i="1" s="1"/>
  <c r="H30" i="1"/>
  <c r="N30" i="1" s="1"/>
  <c r="I26" i="1"/>
  <c r="P26" i="1" s="1"/>
  <c r="H23" i="1"/>
  <c r="N23" i="1" s="1"/>
  <c r="H19" i="1"/>
  <c r="N19" i="1" s="1"/>
  <c r="L14" i="1"/>
  <c r="S14" i="1" s="1"/>
  <c r="M10" i="1"/>
  <c r="T10" i="1" s="1"/>
  <c r="K66" i="1"/>
  <c r="R66" i="1" s="1"/>
  <c r="I62" i="1"/>
  <c r="P62" i="1" s="1"/>
  <c r="I57" i="1"/>
  <c r="P57" i="1" s="1"/>
  <c r="J52" i="1"/>
  <c r="Q52" i="1" s="1"/>
  <c r="L47" i="1"/>
  <c r="S47" i="1" s="1"/>
  <c r="I42" i="1"/>
  <c r="P42" i="1" s="1"/>
  <c r="L37" i="1"/>
  <c r="S37" i="1" s="1"/>
  <c r="I98" i="1"/>
  <c r="P98" i="1" s="1"/>
  <c r="L93" i="1"/>
  <c r="S93" i="1" s="1"/>
  <c r="J87" i="1"/>
  <c r="Q87" i="1" s="1"/>
  <c r="I80" i="1"/>
  <c r="P80" i="1" s="1"/>
  <c r="H74" i="1"/>
  <c r="L139" i="1"/>
  <c r="S139" i="1" s="1"/>
  <c r="H131" i="1"/>
  <c r="M123" i="1"/>
  <c r="T123" i="1" s="1"/>
  <c r="J108" i="1"/>
  <c r="Q108" i="1" s="1"/>
  <c r="L44" i="1"/>
  <c r="S44" i="1" s="1"/>
  <c r="I135" i="1"/>
  <c r="P135" i="1" s="1"/>
  <c r="L24" i="1"/>
  <c r="S24" i="1" s="1"/>
  <c r="M63" i="1"/>
  <c r="T63" i="1" s="1"/>
  <c r="K59" i="1"/>
  <c r="R59" i="1" s="1"/>
  <c r="M30" i="1"/>
  <c r="T30" i="1" s="1"/>
  <c r="I52" i="1"/>
  <c r="P52" i="1" s="1"/>
  <c r="H98" i="1"/>
  <c r="I93" i="1"/>
  <c r="P93" i="1" s="1"/>
  <c r="I87" i="1"/>
  <c r="P87" i="1" s="1"/>
  <c r="K79" i="1"/>
  <c r="R79" i="1" s="1"/>
  <c r="I73" i="1"/>
  <c r="P73" i="1" s="1"/>
  <c r="I138" i="1"/>
  <c r="P138" i="1" s="1"/>
  <c r="L130" i="1"/>
  <c r="S130" i="1" s="1"/>
  <c r="K123" i="1"/>
  <c r="R123" i="1" s="1"/>
  <c r="M107" i="1"/>
  <c r="T107" i="1" s="1"/>
  <c r="M32" i="1"/>
  <c r="T32" i="1" s="1"/>
  <c r="L29" i="1"/>
  <c r="S29" i="1" s="1"/>
  <c r="M25" i="1"/>
  <c r="T25" i="1" s="1"/>
  <c r="K22" i="1"/>
  <c r="R22" i="1" s="1"/>
  <c r="L18" i="1"/>
  <c r="S18" i="1" s="1"/>
  <c r="J14" i="1"/>
  <c r="Q14" i="1" s="1"/>
  <c r="J10" i="1"/>
  <c r="Q10" i="1" s="1"/>
  <c r="L5" i="1"/>
  <c r="S5" i="1" s="1"/>
  <c r="H66" i="1"/>
  <c r="M60" i="1"/>
  <c r="T60" i="1" s="1"/>
  <c r="M56" i="1"/>
  <c r="T56" i="1" s="1"/>
  <c r="H52" i="1"/>
  <c r="H46" i="1"/>
  <c r="I41" i="1"/>
  <c r="P41" i="1" s="1"/>
  <c r="M97" i="1"/>
  <c r="T97" i="1" s="1"/>
  <c r="H92" i="1"/>
  <c r="K86" i="1"/>
  <c r="R86" i="1" s="1"/>
  <c r="J79" i="1"/>
  <c r="Q79" i="1" s="1"/>
  <c r="L72" i="1"/>
  <c r="S72" i="1" s="1"/>
  <c r="M137" i="1"/>
  <c r="T137" i="1" s="1"/>
  <c r="J129" i="1"/>
  <c r="Q129" i="1" s="1"/>
  <c r="J123" i="1"/>
  <c r="Q123" i="1" s="1"/>
  <c r="L100" i="1"/>
  <c r="S100" i="1" s="1"/>
  <c r="I112" i="1"/>
  <c r="P112" i="1" s="1"/>
  <c r="I117" i="1"/>
  <c r="P117" i="1" s="1"/>
  <c r="H122" i="1"/>
  <c r="H127" i="1"/>
  <c r="K131" i="1"/>
  <c r="R131" i="1" s="1"/>
  <c r="M136" i="1"/>
  <c r="T136" i="1" s="1"/>
  <c r="M140" i="1"/>
  <c r="T140" i="1" s="1"/>
  <c r="J112" i="1"/>
  <c r="Q112" i="1" s="1"/>
  <c r="M118" i="1"/>
  <c r="T118" i="1" s="1"/>
  <c r="J124" i="1"/>
  <c r="Q124" i="1" s="1"/>
  <c r="M130" i="1"/>
  <c r="T130" i="1" s="1"/>
  <c r="K137" i="1"/>
  <c r="R137" i="1" s="1"/>
  <c r="H108" i="1"/>
  <c r="M119" i="1"/>
  <c r="T119" i="1" s="1"/>
  <c r="J126" i="1"/>
  <c r="Q126" i="1" s="1"/>
  <c r="H133" i="1"/>
  <c r="J138" i="1"/>
  <c r="Q138" i="1" s="1"/>
  <c r="I108" i="1"/>
  <c r="P108" i="1" s="1"/>
  <c r="K120" i="1"/>
  <c r="R120" i="1" s="1"/>
  <c r="K127" i="1"/>
  <c r="R127" i="1" s="1"/>
  <c r="I133" i="1"/>
  <c r="P133" i="1" s="1"/>
  <c r="K138" i="1"/>
  <c r="R138" i="1" s="1"/>
  <c r="H64" i="1"/>
  <c r="L111" i="1"/>
  <c r="S111" i="1" s="1"/>
  <c r="L12" i="1"/>
  <c r="S12" i="1" s="1"/>
  <c r="H119" i="1"/>
  <c r="L63" i="1"/>
  <c r="S63" i="1" s="1"/>
  <c r="L48" i="1"/>
  <c r="S48" i="1" s="1"/>
  <c r="L118" i="1"/>
  <c r="S118" i="1" s="1"/>
  <c r="H58" i="1"/>
  <c r="L133" i="1"/>
  <c r="S133" i="1" s="1"/>
  <c r="J103" i="1"/>
  <c r="Q103" i="1" s="1"/>
  <c r="L43" i="1"/>
  <c r="S43" i="1" s="1"/>
  <c r="K74" i="1"/>
  <c r="R74" i="1" s="1"/>
  <c r="I110" i="1"/>
  <c r="P110" i="1" s="1"/>
  <c r="K33" i="1"/>
  <c r="R33" i="1" s="1"/>
  <c r="L57" i="1"/>
  <c r="S57" i="1" s="1"/>
  <c r="I124" i="1"/>
  <c r="P124" i="1" s="1"/>
  <c r="J62" i="1"/>
  <c r="Q62" i="1" s="1"/>
  <c r="M29" i="1"/>
  <c r="T29" i="1" s="1"/>
  <c r="K14" i="1"/>
  <c r="R14" i="1" s="1"/>
  <c r="J66" i="1"/>
  <c r="Q66" i="1" s="1"/>
  <c r="H57" i="1"/>
  <c r="H47" i="1"/>
  <c r="L32" i="1"/>
  <c r="S32" i="1" s="1"/>
  <c r="M91" i="1"/>
  <c r="T91" i="1" s="1"/>
  <c r="J86" i="1"/>
  <c r="Q86" i="1" s="1"/>
  <c r="M78" i="1"/>
  <c r="T78" i="1" s="1"/>
  <c r="L71" i="1"/>
  <c r="S71" i="1" s="1"/>
  <c r="L137" i="1"/>
  <c r="S137" i="1" s="1"/>
  <c r="M128" i="1"/>
  <c r="T128" i="1" s="1"/>
  <c r="I122" i="1"/>
  <c r="P122" i="1" s="1"/>
  <c r="M105" i="1"/>
  <c r="T105" i="1" s="1"/>
  <c r="L28" i="1"/>
  <c r="S28" i="1" s="1"/>
  <c r="H10" i="1"/>
  <c r="N10" i="1" s="1"/>
  <c r="M84" i="1"/>
  <c r="T84" i="1" s="1"/>
  <c r="I9" i="1"/>
  <c r="P9" i="1" s="1"/>
  <c r="H97" i="1"/>
  <c r="J84" i="1"/>
  <c r="Q84" i="1" s="1"/>
  <c r="K78" i="1"/>
  <c r="R78" i="1" s="1"/>
  <c r="K135" i="1"/>
  <c r="R135" i="1" s="1"/>
  <c r="K128" i="1"/>
  <c r="R128" i="1" s="1"/>
  <c r="H121" i="1"/>
  <c r="J105" i="1"/>
  <c r="Q105" i="1" s="1"/>
  <c r="L70" i="1"/>
  <c r="S70" i="1" s="1"/>
  <c r="L77" i="1"/>
  <c r="S77" i="1" s="1"/>
  <c r="L84" i="1"/>
  <c r="S84" i="1" s="1"/>
  <c r="L91" i="1"/>
  <c r="S91" i="1" s="1"/>
  <c r="L98" i="1"/>
  <c r="S98" i="1" s="1"/>
  <c r="L75" i="1"/>
  <c r="S75" i="1" s="1"/>
  <c r="L82" i="1"/>
  <c r="S82" i="1" s="1"/>
  <c r="L85" i="1"/>
  <c r="S85" i="1" s="1"/>
  <c r="L73" i="1"/>
  <c r="S73" i="1" s="1"/>
  <c r="L76" i="1"/>
  <c r="S76" i="1" s="1"/>
  <c r="L79" i="1"/>
  <c r="S79" i="1" s="1"/>
  <c r="L96" i="1"/>
  <c r="S96" i="1" s="1"/>
  <c r="L92" i="1"/>
  <c r="S92" i="1" s="1"/>
  <c r="L99" i="1"/>
  <c r="S99" i="1" s="1"/>
  <c r="L89" i="1"/>
  <c r="S89" i="1" s="1"/>
  <c r="L86" i="1"/>
  <c r="S86" i="1" s="1"/>
  <c r="L68" i="1"/>
  <c r="S68" i="1" s="1"/>
  <c r="L69" i="1"/>
  <c r="S69" i="1" s="1"/>
  <c r="I128" i="1"/>
  <c r="P128" i="1" s="1"/>
  <c r="I119" i="1"/>
  <c r="P119" i="1" s="1"/>
  <c r="H135" i="1"/>
  <c r="H128" i="1"/>
  <c r="I111" i="1"/>
  <c r="P111" i="1" s="1"/>
  <c r="I104" i="1"/>
  <c r="P104" i="1" s="1"/>
  <c r="M34" i="1"/>
  <c r="T34" i="1" s="1"/>
  <c r="H31" i="1"/>
  <c r="N31" i="1" s="1"/>
  <c r="L83" i="1"/>
  <c r="S83" i="1" s="1"/>
  <c r="N75" i="1"/>
  <c r="O75" i="1" a="1"/>
  <c r="O75" i="1" s="1"/>
  <c r="J101" i="1"/>
  <c r="Q101" i="1" s="1"/>
  <c r="K134" i="1"/>
  <c r="R134" i="1" s="1"/>
  <c r="I125" i="1"/>
  <c r="P125" i="1" s="1"/>
  <c r="K103" i="1"/>
  <c r="R103" i="1" s="1"/>
  <c r="K70" i="1"/>
  <c r="R70" i="1" s="1"/>
  <c r="M72" i="1"/>
  <c r="T72" i="1" s="1"/>
  <c r="I75" i="1"/>
  <c r="P75" i="1" s="1"/>
  <c r="K77" i="1"/>
  <c r="R77" i="1" s="1"/>
  <c r="M79" i="1"/>
  <c r="T79" i="1" s="1"/>
  <c r="I82" i="1"/>
  <c r="P82" i="1" s="1"/>
  <c r="K84" i="1"/>
  <c r="R84" i="1" s="1"/>
  <c r="M86" i="1"/>
  <c r="T86" i="1" s="1"/>
  <c r="H73" i="1"/>
  <c r="J75" i="1"/>
  <c r="Q75" i="1" s="1"/>
  <c r="H80" i="1"/>
  <c r="J82" i="1"/>
  <c r="Q82" i="1" s="1"/>
  <c r="H87" i="1"/>
  <c r="J89" i="1"/>
  <c r="Q89" i="1" s="1"/>
  <c r="H94" i="1"/>
  <c r="J96" i="1"/>
  <c r="Q96" i="1" s="1"/>
  <c r="H71" i="1"/>
  <c r="J73" i="1"/>
  <c r="Q73" i="1" s="1"/>
  <c r="H78" i="1"/>
  <c r="J80" i="1"/>
  <c r="Q80" i="1" s="1"/>
  <c r="I71" i="1"/>
  <c r="P71" i="1" s="1"/>
  <c r="K73" i="1"/>
  <c r="R73" i="1" s="1"/>
  <c r="M75" i="1"/>
  <c r="T75" i="1" s="1"/>
  <c r="I78" i="1"/>
  <c r="P78" i="1" s="1"/>
  <c r="K80" i="1"/>
  <c r="R80" i="1" s="1"/>
  <c r="M82" i="1"/>
  <c r="T82" i="1" s="1"/>
  <c r="I85" i="1"/>
  <c r="P85" i="1" s="1"/>
  <c r="K87" i="1"/>
  <c r="R87" i="1" s="1"/>
  <c r="J69" i="1"/>
  <c r="Q69" i="1" s="1"/>
  <c r="J72" i="1"/>
  <c r="Q72" i="1" s="1"/>
  <c r="H76" i="1"/>
  <c r="H79" i="1"/>
  <c r="H82" i="1"/>
  <c r="K85" i="1"/>
  <c r="R85" i="1" s="1"/>
  <c r="J88" i="1"/>
  <c r="Q88" i="1" s="1"/>
  <c r="M90" i="1"/>
  <c r="T90" i="1" s="1"/>
  <c r="J93" i="1"/>
  <c r="Q93" i="1" s="1"/>
  <c r="M95" i="1"/>
  <c r="T95" i="1" s="1"/>
  <c r="J98" i="1"/>
  <c r="Q98" i="1" s="1"/>
  <c r="M100" i="1"/>
  <c r="T100" i="1" s="1"/>
  <c r="K69" i="1"/>
  <c r="R69" i="1" s="1"/>
  <c r="K72" i="1"/>
  <c r="R72" i="1" s="1"/>
  <c r="I76" i="1"/>
  <c r="P76" i="1" s="1"/>
  <c r="I79" i="1"/>
  <c r="P79" i="1" s="1"/>
  <c r="K82" i="1"/>
  <c r="R82" i="1" s="1"/>
  <c r="K88" i="1"/>
  <c r="R88" i="1" s="1"/>
  <c r="H91" i="1"/>
  <c r="K93" i="1"/>
  <c r="R93" i="1" s="1"/>
  <c r="H96" i="1"/>
  <c r="K98" i="1"/>
  <c r="R98" i="1" s="1"/>
  <c r="M68" i="1"/>
  <c r="T68" i="1" s="1"/>
  <c r="H70" i="1"/>
  <c r="J83" i="1"/>
  <c r="Q83" i="1" s="1"/>
  <c r="I86" i="1"/>
  <c r="P86" i="1" s="1"/>
  <c r="H89" i="1"/>
  <c r="K91" i="1"/>
  <c r="R91" i="1" s="1"/>
  <c r="I94" i="1"/>
  <c r="P94" i="1" s="1"/>
  <c r="I99" i="1"/>
  <c r="P99" i="1" s="1"/>
  <c r="J68" i="1"/>
  <c r="Q68" i="1" s="1"/>
  <c r="I69" i="1"/>
  <c r="P69" i="1" s="1"/>
  <c r="M73" i="1"/>
  <c r="T73" i="1" s="1"/>
  <c r="J77" i="1"/>
  <c r="Q77" i="1" s="1"/>
  <c r="K81" i="1"/>
  <c r="R81" i="1" s="1"/>
  <c r="M85" i="1"/>
  <c r="T85" i="1" s="1"/>
  <c r="K89" i="1"/>
  <c r="R89" i="1" s="1"/>
  <c r="K92" i="1"/>
  <c r="R92" i="1" s="1"/>
  <c r="K95" i="1"/>
  <c r="R95" i="1" s="1"/>
  <c r="H99" i="1"/>
  <c r="M71" i="1"/>
  <c r="T71" i="1" s="1"/>
  <c r="K76" i="1"/>
  <c r="R76" i="1" s="1"/>
  <c r="H81" i="1"/>
  <c r="H85" i="1"/>
  <c r="I89" i="1"/>
  <c r="P89" i="1" s="1"/>
  <c r="I96" i="1"/>
  <c r="P96" i="1" s="1"/>
  <c r="H72" i="1"/>
  <c r="M76" i="1"/>
  <c r="T76" i="1" s="1"/>
  <c r="I81" i="1"/>
  <c r="P81" i="1" s="1"/>
  <c r="J85" i="1"/>
  <c r="Q85" i="1" s="1"/>
  <c r="M92" i="1"/>
  <c r="T92" i="1" s="1"/>
  <c r="M99" i="1"/>
  <c r="T99" i="1" s="1"/>
  <c r="H77" i="1"/>
  <c r="J81" i="1"/>
  <c r="Q81" i="1" s="1"/>
  <c r="H86" i="1"/>
  <c r="M89" i="1"/>
  <c r="T89" i="1" s="1"/>
  <c r="M96" i="1"/>
  <c r="T96" i="1" s="1"/>
  <c r="H100" i="1"/>
  <c r="K96" i="1"/>
  <c r="R96" i="1" s="1"/>
  <c r="I72" i="1"/>
  <c r="P72" i="1" s="1"/>
  <c r="H93" i="1"/>
  <c r="M69" i="1"/>
  <c r="T69" i="1" s="1"/>
  <c r="M74" i="1"/>
  <c r="T74" i="1" s="1"/>
  <c r="M80" i="1"/>
  <c r="T80" i="1" s="1"/>
  <c r="I91" i="1"/>
  <c r="P91" i="1" s="1"/>
  <c r="I95" i="1"/>
  <c r="P95" i="1" s="1"/>
  <c r="I100" i="1"/>
  <c r="P100" i="1" s="1"/>
  <c r="J71" i="1"/>
  <c r="Q71" i="1" s="1"/>
  <c r="I77" i="1"/>
  <c r="P77" i="1" s="1"/>
  <c r="I83" i="1"/>
  <c r="P83" i="1" s="1"/>
  <c r="M87" i="1"/>
  <c r="T87" i="1" s="1"/>
  <c r="I92" i="1"/>
  <c r="P92" i="1" s="1"/>
  <c r="I97" i="1"/>
  <c r="P97" i="1" s="1"/>
  <c r="K71" i="1"/>
  <c r="R71" i="1" s="1"/>
  <c r="M77" i="1"/>
  <c r="T77" i="1" s="1"/>
  <c r="K83" i="1"/>
  <c r="R83" i="1" s="1"/>
  <c r="H88" i="1"/>
  <c r="J92" i="1"/>
  <c r="Q92" i="1" s="1"/>
  <c r="J97" i="1"/>
  <c r="Q97" i="1" s="1"/>
  <c r="K68" i="1"/>
  <c r="R68" i="1" s="1"/>
  <c r="L7" i="1"/>
  <c r="S7" i="1" s="1"/>
  <c r="J63" i="1"/>
  <c r="Q63" i="1" s="1"/>
  <c r="J100" i="1"/>
  <c r="Q100" i="1" s="1"/>
  <c r="M88" i="1"/>
  <c r="T88" i="1" s="1"/>
  <c r="H83" i="1"/>
  <c r="L74" i="1"/>
  <c r="S74" i="1" s="1"/>
  <c r="I118" i="1"/>
  <c r="P118" i="1" s="1"/>
  <c r="K34" i="1"/>
  <c r="R34" i="1" s="1"/>
  <c r="K30" i="1"/>
  <c r="R30" i="1" s="1"/>
  <c r="L19" i="1"/>
  <c r="S19" i="1" s="1"/>
  <c r="H67" i="1"/>
  <c r="I63" i="1"/>
  <c r="P63" i="1" s="1"/>
  <c r="M57" i="1"/>
  <c r="T57" i="1" s="1"/>
  <c r="K94" i="1"/>
  <c r="R94" i="1" s="1"/>
  <c r="L88" i="1"/>
  <c r="S88" i="1" s="1"/>
  <c r="M81" i="1"/>
  <c r="T81" i="1" s="1"/>
  <c r="J140" i="1"/>
  <c r="Q140" i="1" s="1"/>
  <c r="K133" i="1"/>
  <c r="R133" i="1" s="1"/>
  <c r="K124" i="1"/>
  <c r="R124" i="1" s="1"/>
  <c r="M102" i="1"/>
  <c r="T102" i="1" s="1"/>
  <c r="K41" i="1"/>
  <c r="R41" i="1" s="1"/>
  <c r="I50" i="1"/>
  <c r="P50" i="1" s="1"/>
  <c r="H54" i="1"/>
  <c r="K57" i="1"/>
  <c r="R57" i="1" s="1"/>
  <c r="H61" i="1"/>
  <c r="I65" i="1"/>
  <c r="P65" i="1" s="1"/>
  <c r="H43" i="1"/>
  <c r="K47" i="1"/>
  <c r="R47" i="1" s="1"/>
  <c r="K51" i="1"/>
  <c r="R51" i="1" s="1"/>
  <c r="H55" i="1"/>
  <c r="J59" i="1"/>
  <c r="Q59" i="1" s="1"/>
  <c r="H27" i="1"/>
  <c r="N27" i="1" s="1"/>
  <c r="J23" i="1"/>
  <c r="Q23" i="1" s="1"/>
  <c r="J19" i="1"/>
  <c r="Q19" i="1" s="1"/>
  <c r="L15" i="1"/>
  <c r="S15" i="1" s="1"/>
  <c r="M66" i="1"/>
  <c r="T66" i="1" s="1"/>
  <c r="M62" i="1"/>
  <c r="T62" i="1" s="1"/>
  <c r="I53" i="1"/>
  <c r="P53" i="1" s="1"/>
  <c r="I48" i="1"/>
  <c r="P48" i="1" s="1"/>
  <c r="J99" i="1"/>
  <c r="Q99" i="1" s="1"/>
  <c r="J94" i="1"/>
  <c r="Q94" i="1" s="1"/>
  <c r="I88" i="1"/>
  <c r="P88" i="1" s="1"/>
  <c r="L81" i="1"/>
  <c r="S81" i="1" s="1"/>
  <c r="J74" i="1"/>
  <c r="Q74" i="1" s="1"/>
  <c r="I140" i="1"/>
  <c r="P140" i="1" s="1"/>
  <c r="I132" i="1"/>
  <c r="P132" i="1" s="1"/>
  <c r="H110" i="1"/>
  <c r="J33" i="1"/>
  <c r="Q33" i="1" s="1"/>
  <c r="M26" i="1"/>
  <c r="T26" i="1" s="1"/>
  <c r="J57" i="1"/>
  <c r="Q57" i="1" s="1"/>
  <c r="K52" i="1"/>
  <c r="R52" i="1" s="1"/>
  <c r="H48" i="1"/>
  <c r="J42" i="1"/>
  <c r="Q42" i="1" s="1"/>
  <c r="M98" i="1"/>
  <c r="T98" i="1" s="1"/>
  <c r="M93" i="1"/>
  <c r="T93" i="1" s="1"/>
  <c r="L80" i="1"/>
  <c r="S80" i="1" s="1"/>
  <c r="I74" i="1"/>
  <c r="P74" i="1" s="1"/>
  <c r="M139" i="1"/>
  <c r="T139" i="1" s="1"/>
  <c r="L131" i="1"/>
  <c r="S131" i="1" s="1"/>
  <c r="H124" i="1"/>
  <c r="K109" i="1"/>
  <c r="R109" i="1" s="1"/>
  <c r="L39" i="1"/>
  <c r="S39" i="1" s="1"/>
  <c r="L46" i="1"/>
  <c r="S46" i="1" s="1"/>
  <c r="L53" i="1"/>
  <c r="S53" i="1" s="1"/>
  <c r="L60" i="1"/>
  <c r="S60" i="1" s="1"/>
  <c r="L67" i="1"/>
  <c r="S67" i="1" s="1"/>
  <c r="L35" i="1"/>
  <c r="S35" i="1" s="1"/>
  <c r="L41" i="1"/>
  <c r="S41" i="1" s="1"/>
  <c r="L50" i="1"/>
  <c r="S50" i="1" s="1"/>
  <c r="L36" i="1"/>
  <c r="S36" i="1" s="1"/>
  <c r="L49" i="1"/>
  <c r="S49" i="1" s="1"/>
  <c r="L52" i="1"/>
  <c r="S52" i="1" s="1"/>
  <c r="L55" i="1"/>
  <c r="S55" i="1" s="1"/>
  <c r="L58" i="1"/>
  <c r="S58" i="1" s="1"/>
  <c r="L61" i="1"/>
  <c r="S61" i="1" s="1"/>
  <c r="L64" i="1"/>
  <c r="S64" i="1" s="1"/>
  <c r="L45" i="1"/>
  <c r="S45" i="1" s="1"/>
  <c r="L38" i="1"/>
  <c r="S38" i="1" s="1"/>
  <c r="L62" i="1"/>
  <c r="S62" i="1" s="1"/>
  <c r="H33" i="1"/>
  <c r="N33" i="1" s="1"/>
  <c r="H26" i="1"/>
  <c r="N26" i="1" s="1"/>
  <c r="L22" i="1"/>
  <c r="S22" i="1" s="1"/>
  <c r="M18" i="1"/>
  <c r="T18" i="1" s="1"/>
  <c r="K10" i="1"/>
  <c r="R10" i="1" s="1"/>
  <c r="J61" i="1"/>
  <c r="Q61" i="1" s="1"/>
  <c r="J41" i="1"/>
  <c r="Q41" i="1" s="1"/>
  <c r="K102" i="1"/>
  <c r="R102" i="1" s="1"/>
  <c r="J29" i="1"/>
  <c r="Q29" i="1" s="1"/>
  <c r="L25" i="1"/>
  <c r="S25" i="1" s="1"/>
  <c r="H22" i="1"/>
  <c r="N22" i="1" s="1"/>
  <c r="M17" i="1"/>
  <c r="T17" i="1" s="1"/>
  <c r="H14" i="1"/>
  <c r="N14" i="1" s="1"/>
  <c r="I10" i="1"/>
  <c r="P10" i="1" s="1"/>
  <c r="L65" i="1"/>
  <c r="S65" i="1" s="1"/>
  <c r="K60" i="1"/>
  <c r="R60" i="1" s="1"/>
  <c r="L51" i="1"/>
  <c r="S51" i="1" s="1"/>
  <c r="M45" i="1"/>
  <c r="T45" i="1" s="1"/>
  <c r="L97" i="1"/>
  <c r="S97" i="1" s="1"/>
  <c r="L3" i="1"/>
  <c r="S3" i="1" s="1"/>
  <c r="K32" i="1"/>
  <c r="R32" i="1" s="1"/>
  <c r="K25" i="1"/>
  <c r="R25" i="1" s="1"/>
  <c r="M21" i="1"/>
  <c r="T21" i="1" s="1"/>
  <c r="K17" i="1"/>
  <c r="R17" i="1" s="1"/>
  <c r="M13" i="1"/>
  <c r="T13" i="1" s="1"/>
  <c r="K65" i="1"/>
  <c r="R65" i="1" s="1"/>
  <c r="J60" i="1"/>
  <c r="Q60" i="1" s="1"/>
  <c r="I56" i="1"/>
  <c r="P56" i="1" s="1"/>
  <c r="M50" i="1"/>
  <c r="T50" i="1" s="1"/>
  <c r="K45" i="1"/>
  <c r="R45" i="1" s="1"/>
  <c r="K97" i="1"/>
  <c r="R97" i="1" s="1"/>
  <c r="J91" i="1"/>
  <c r="Q91" i="1" s="1"/>
  <c r="L78" i="1"/>
  <c r="S78" i="1" s="1"/>
  <c r="M70" i="1"/>
  <c r="T70" i="1" s="1"/>
  <c r="J137" i="1"/>
  <c r="Q137" i="1" s="1"/>
  <c r="L128" i="1"/>
  <c r="S128" i="1" s="1"/>
  <c r="I121" i="1"/>
  <c r="P121" i="1" s="1"/>
  <c r="K105" i="1"/>
  <c r="R105" i="1" s="1"/>
  <c r="J32" i="1"/>
  <c r="Q32" i="1" s="1"/>
  <c r="K28" i="1"/>
  <c r="R28" i="1" s="1"/>
  <c r="J25" i="1"/>
  <c r="Q25" i="1" s="1"/>
  <c r="L21" i="1"/>
  <c r="S21" i="1" s="1"/>
  <c r="L13" i="1"/>
  <c r="S13" i="1" s="1"/>
  <c r="H65" i="1"/>
  <c r="I60" i="1"/>
  <c r="P60" i="1" s="1"/>
  <c r="J55" i="1"/>
  <c r="Q55" i="1" s="1"/>
  <c r="K50" i="1"/>
  <c r="R50" i="1" s="1"/>
  <c r="J45" i="1"/>
  <c r="Q45" i="1" s="1"/>
  <c r="L40" i="1"/>
  <c r="S40" i="1" s="1"/>
  <c r="H6" i="1"/>
  <c r="N6" i="1" s="1"/>
  <c r="J8" i="1"/>
  <c r="Q8" i="1" s="1"/>
  <c r="H13" i="1"/>
  <c r="N13" i="1" s="1"/>
  <c r="J15" i="1"/>
  <c r="Q15" i="1" s="1"/>
  <c r="H20" i="1"/>
  <c r="N20" i="1" s="1"/>
  <c r="J22" i="1"/>
  <c r="Q22" i="1" s="1"/>
  <c r="K6" i="1"/>
  <c r="R6" i="1" s="1"/>
  <c r="M8" i="1"/>
  <c r="T8" i="1" s="1"/>
  <c r="I11" i="1"/>
  <c r="P11" i="1" s="1"/>
  <c r="K13" i="1"/>
  <c r="R13" i="1" s="1"/>
  <c r="M15" i="1"/>
  <c r="T15" i="1" s="1"/>
  <c r="I18" i="1"/>
  <c r="P18" i="1" s="1"/>
  <c r="K20" i="1"/>
  <c r="R20" i="1" s="1"/>
  <c r="M22" i="1"/>
  <c r="T22" i="1" s="1"/>
  <c r="M5" i="1"/>
  <c r="T5" i="1" s="1"/>
  <c r="K11" i="1"/>
  <c r="R11" i="1" s="1"/>
  <c r="I14" i="1"/>
  <c r="P14" i="1" s="1"/>
  <c r="M16" i="1"/>
  <c r="T16" i="1" s="1"/>
  <c r="K19" i="1"/>
  <c r="R19" i="1" s="1"/>
  <c r="I22" i="1"/>
  <c r="P22" i="1" s="1"/>
  <c r="M24" i="1"/>
  <c r="T24" i="1" s="1"/>
  <c r="I27" i="1"/>
  <c r="P27" i="1" s="1"/>
  <c r="K29" i="1"/>
  <c r="R29" i="1" s="1"/>
  <c r="M31" i="1"/>
  <c r="T31" i="1" s="1"/>
  <c r="I34" i="1"/>
  <c r="P34" i="1" s="1"/>
  <c r="K4" i="1"/>
  <c r="R4" i="1" s="1"/>
  <c r="J6" i="1"/>
  <c r="Q6" i="1" s="1"/>
  <c r="J9" i="1"/>
  <c r="Q9" i="1" s="1"/>
  <c r="I12" i="1"/>
  <c r="P12" i="1" s="1"/>
  <c r="H15" i="1"/>
  <c r="N15" i="1" s="1"/>
  <c r="H18" i="1"/>
  <c r="N18" i="1" s="1"/>
  <c r="H21" i="1"/>
  <c r="N21" i="1" s="1"/>
  <c r="M23" i="1"/>
  <c r="T23" i="1" s="1"/>
  <c r="J26" i="1"/>
  <c r="Q26" i="1" s="1"/>
  <c r="M28" i="1"/>
  <c r="T28" i="1" s="1"/>
  <c r="J31" i="1"/>
  <c r="Q31" i="1" s="1"/>
  <c r="M33" i="1"/>
  <c r="T33" i="1" s="1"/>
  <c r="J4" i="1"/>
  <c r="Q4" i="1" s="1"/>
  <c r="K9" i="1"/>
  <c r="R9" i="1" s="1"/>
  <c r="J12" i="1"/>
  <c r="Q12" i="1" s="1"/>
  <c r="I15" i="1"/>
  <c r="P15" i="1" s="1"/>
  <c r="J18" i="1"/>
  <c r="Q18" i="1" s="1"/>
  <c r="I21" i="1"/>
  <c r="P21" i="1" s="1"/>
  <c r="H24" i="1"/>
  <c r="N24" i="1" s="1"/>
  <c r="K26" i="1"/>
  <c r="R26" i="1" s="1"/>
  <c r="H29" i="1"/>
  <c r="N29" i="1" s="1"/>
  <c r="K31" i="1"/>
  <c r="R31" i="1" s="1"/>
  <c r="H34" i="1"/>
  <c r="N34" i="1" s="1"/>
  <c r="K12" i="1"/>
  <c r="R12" i="1" s="1"/>
  <c r="K18" i="1"/>
  <c r="R18" i="1" s="1"/>
  <c r="J21" i="1"/>
  <c r="Q21" i="1" s="1"/>
  <c r="I29" i="1"/>
  <c r="P29" i="1" s="1"/>
  <c r="M4" i="1"/>
  <c r="T4" i="1" s="1"/>
  <c r="M6" i="1"/>
  <c r="T6" i="1" s="1"/>
  <c r="K15" i="1"/>
  <c r="R15" i="1" s="1"/>
  <c r="I24" i="1"/>
  <c r="P24" i="1" s="1"/>
  <c r="J34" i="1"/>
  <c r="Q34" i="1" s="1"/>
  <c r="I8" i="1"/>
  <c r="P8" i="1" s="1"/>
  <c r="K5" i="1"/>
  <c r="R5" i="1" s="1"/>
  <c r="M9" i="1"/>
  <c r="T9" i="1" s="1"/>
  <c r="J13" i="1"/>
  <c r="Q13" i="1" s="1"/>
  <c r="H17" i="1"/>
  <c r="N17" i="1" s="1"/>
  <c r="K24" i="1"/>
  <c r="R24" i="1" s="1"/>
  <c r="J3" i="1"/>
  <c r="Q3" i="1" s="1"/>
  <c r="I32" i="1"/>
  <c r="P32" i="1" s="1"/>
  <c r="J28" i="1"/>
  <c r="Q28" i="1" s="1"/>
  <c r="I25" i="1"/>
  <c r="P25" i="1" s="1"/>
  <c r="K21" i="1"/>
  <c r="R21" i="1" s="1"/>
  <c r="I17" i="1"/>
  <c r="P17" i="1" s="1"/>
  <c r="I13" i="1"/>
  <c r="P13" i="1" s="1"/>
  <c r="H9" i="1"/>
  <c r="N9" i="1" s="1"/>
  <c r="I64" i="1"/>
  <c r="P64" i="1" s="1"/>
  <c r="H60" i="1"/>
  <c r="I55" i="1"/>
  <c r="P55" i="1" s="1"/>
  <c r="J50" i="1"/>
  <c r="Q50" i="1" s="1"/>
  <c r="I45" i="1"/>
  <c r="P45" i="1" s="1"/>
  <c r="H68" i="1"/>
  <c r="L95" i="1"/>
  <c r="S95" i="1" s="1"/>
  <c r="K90" i="1"/>
  <c r="R90" i="1" s="1"/>
  <c r="I84" i="1"/>
  <c r="P84" i="1" s="1"/>
  <c r="J78" i="1"/>
  <c r="Q78" i="1" s="1"/>
  <c r="I70" i="1"/>
  <c r="P70" i="1" s="1"/>
  <c r="J135" i="1"/>
  <c r="Q135" i="1" s="1"/>
  <c r="J128" i="1"/>
  <c r="Q128" i="1" s="1"/>
  <c r="L119" i="1"/>
  <c r="S119" i="1" s="1"/>
  <c r="K112" i="1"/>
  <c r="R112" i="1" s="1"/>
  <c r="M104" i="1"/>
  <c r="T104" i="1" s="1"/>
  <c r="H53" i="1"/>
  <c r="H59" i="1"/>
  <c r="M64" i="1"/>
  <c r="T64" i="1" s="1"/>
  <c r="M67" i="1"/>
  <c r="T67" i="1" s="1"/>
  <c r="K40" i="1"/>
  <c r="R40" i="1" s="1"/>
  <c r="K43" i="1"/>
  <c r="R43" i="1" s="1"/>
  <c r="M46" i="1"/>
  <c r="T46" i="1" s="1"/>
  <c r="H50" i="1"/>
  <c r="M55" i="1"/>
  <c r="T55" i="1" s="1"/>
  <c r="H62" i="1"/>
  <c r="I66" i="1"/>
  <c r="P66" i="1" s="1"/>
  <c r="K62" i="1"/>
  <c r="R62" i="1" s="1"/>
  <c r="I58" i="1"/>
  <c r="P58" i="1" s="1"/>
  <c r="M54" i="1"/>
  <c r="T54" i="1" s="1"/>
  <c r="H51" i="1"/>
  <c r="J47" i="1"/>
  <c r="Q47" i="1" s="1"/>
  <c r="M42" i="1"/>
  <c r="T42" i="1" s="1"/>
  <c r="N35" i="1"/>
  <c r="O35" i="1" a="1"/>
  <c r="O35" i="1" s="1"/>
  <c r="I37" i="1"/>
  <c r="P37" i="1" s="1"/>
  <c r="K39" i="1"/>
  <c r="R39" i="1" s="1"/>
  <c r="M41" i="1"/>
  <c r="T41" i="1" s="1"/>
  <c r="I44" i="1"/>
  <c r="P44" i="1" s="1"/>
  <c r="K46" i="1"/>
  <c r="R46" i="1" s="1"/>
  <c r="M48" i="1"/>
  <c r="T48" i="1" s="1"/>
  <c r="I51" i="1"/>
  <c r="P51" i="1" s="1"/>
  <c r="J37" i="1"/>
  <c r="Q37" i="1" s="1"/>
  <c r="H42" i="1"/>
  <c r="J44" i="1"/>
  <c r="Q44" i="1" s="1"/>
  <c r="H49" i="1"/>
  <c r="J51" i="1"/>
  <c r="Q51" i="1" s="1"/>
  <c r="H56" i="1"/>
  <c r="J58" i="1"/>
  <c r="Q58" i="1" s="1"/>
  <c r="H63" i="1"/>
  <c r="J65" i="1"/>
  <c r="Q65" i="1" s="1"/>
  <c r="M37" i="1"/>
  <c r="T37" i="1" s="1"/>
  <c r="I40" i="1"/>
  <c r="P40" i="1" s="1"/>
  <c r="K42" i="1"/>
  <c r="R42" i="1" s="1"/>
  <c r="M44" i="1"/>
  <c r="T44" i="1" s="1"/>
  <c r="I47" i="1"/>
  <c r="P47" i="1" s="1"/>
  <c r="K49" i="1"/>
  <c r="R49" i="1" s="1"/>
  <c r="M51" i="1"/>
  <c r="T51" i="1" s="1"/>
  <c r="I54" i="1"/>
  <c r="P54" i="1" s="1"/>
  <c r="K56" i="1"/>
  <c r="R56" i="1" s="1"/>
  <c r="M58" i="1"/>
  <c r="T58" i="1" s="1"/>
  <c r="I61" i="1"/>
  <c r="P61" i="1" s="1"/>
  <c r="K63" i="1"/>
  <c r="R63" i="1" s="1"/>
  <c r="M65" i="1"/>
  <c r="T65" i="1" s="1"/>
  <c r="H36" i="1"/>
  <c r="M38" i="1"/>
  <c r="T38" i="1" s="1"/>
  <c r="H45" i="1"/>
  <c r="M47" i="1"/>
  <c r="T47" i="1" s="1"/>
  <c r="K53" i="1"/>
  <c r="R53" i="1" s="1"/>
  <c r="J56" i="1"/>
  <c r="Q56" i="1" s="1"/>
  <c r="I59" i="1"/>
  <c r="P59" i="1" s="1"/>
  <c r="M61" i="1"/>
  <c r="T61" i="1" s="1"/>
  <c r="K64" i="1"/>
  <c r="R64" i="1" s="1"/>
  <c r="I67" i="1"/>
  <c r="P67" i="1" s="1"/>
  <c r="M103" i="1"/>
  <c r="T103" i="1" s="1"/>
  <c r="I106" i="1"/>
  <c r="P106" i="1" s="1"/>
  <c r="K108" i="1"/>
  <c r="R108" i="1" s="1"/>
  <c r="M110" i="1"/>
  <c r="T110" i="1" s="1"/>
  <c r="I113" i="1"/>
  <c r="P113" i="1" s="1"/>
  <c r="K115" i="1"/>
  <c r="R115" i="1" s="1"/>
  <c r="M117" i="1"/>
  <c r="T117" i="1" s="1"/>
  <c r="I120" i="1"/>
  <c r="P120" i="1" s="1"/>
  <c r="K122" i="1"/>
  <c r="R122" i="1" s="1"/>
  <c r="M124" i="1"/>
  <c r="T124" i="1" s="1"/>
  <c r="I127" i="1"/>
  <c r="P127" i="1" s="1"/>
  <c r="K129" i="1"/>
  <c r="R129" i="1" s="1"/>
  <c r="M131" i="1"/>
  <c r="T131" i="1" s="1"/>
  <c r="I134" i="1"/>
  <c r="P134" i="1" s="1"/>
  <c r="K136" i="1"/>
  <c r="R136" i="1" s="1"/>
  <c r="M138" i="1"/>
  <c r="T138" i="1" s="1"/>
  <c r="H104" i="1"/>
  <c r="J106" i="1"/>
  <c r="Q106" i="1" s="1"/>
  <c r="H111" i="1"/>
  <c r="J113" i="1"/>
  <c r="Q113" i="1" s="1"/>
  <c r="H118" i="1"/>
  <c r="J120" i="1"/>
  <c r="Q120" i="1" s="1"/>
  <c r="H125" i="1"/>
  <c r="J127" i="1"/>
  <c r="Q127" i="1" s="1"/>
  <c r="H132" i="1"/>
  <c r="J134" i="1"/>
  <c r="Q134" i="1" s="1"/>
  <c r="H139" i="1"/>
  <c r="K101" i="1"/>
  <c r="R101" i="1" s="1"/>
  <c r="H102" i="1"/>
  <c r="J104" i="1"/>
  <c r="Q104" i="1" s="1"/>
  <c r="H109" i="1"/>
  <c r="J111" i="1"/>
  <c r="Q111" i="1" s="1"/>
  <c r="H116" i="1"/>
  <c r="J118" i="1"/>
  <c r="Q118" i="1" s="1"/>
  <c r="H123" i="1"/>
  <c r="J125" i="1"/>
  <c r="Q125" i="1" s="1"/>
  <c r="H130" i="1"/>
  <c r="J132" i="1"/>
  <c r="Q132" i="1" s="1"/>
  <c r="H137" i="1"/>
  <c r="J139" i="1"/>
  <c r="Q139" i="1" s="1"/>
  <c r="I101" i="1"/>
  <c r="P101" i="1" s="1"/>
  <c r="I102" i="1"/>
  <c r="P102" i="1" s="1"/>
  <c r="K104" i="1"/>
  <c r="R104" i="1" s="1"/>
  <c r="M106" i="1"/>
  <c r="T106" i="1" s="1"/>
  <c r="I109" i="1"/>
  <c r="P109" i="1" s="1"/>
  <c r="K111" i="1"/>
  <c r="R111" i="1" s="1"/>
  <c r="M113" i="1"/>
  <c r="T113" i="1" s="1"/>
  <c r="I116" i="1"/>
  <c r="P116" i="1" s="1"/>
  <c r="K118" i="1"/>
  <c r="R118" i="1" s="1"/>
  <c r="M120" i="1"/>
  <c r="T120" i="1" s="1"/>
  <c r="I123" i="1"/>
  <c r="P123" i="1" s="1"/>
  <c r="K125" i="1"/>
  <c r="R125" i="1" s="1"/>
  <c r="M127" i="1"/>
  <c r="T127" i="1" s="1"/>
  <c r="I130" i="1"/>
  <c r="P130" i="1" s="1"/>
  <c r="K132" i="1"/>
  <c r="R132" i="1" s="1"/>
  <c r="M134" i="1"/>
  <c r="T134" i="1" s="1"/>
  <c r="I137" i="1"/>
  <c r="P137" i="1" s="1"/>
  <c r="K139" i="1"/>
  <c r="R139" i="1" s="1"/>
  <c r="H101" i="1"/>
  <c r="H103" i="1"/>
  <c r="H106" i="1"/>
  <c r="J116" i="1"/>
  <c r="Q116" i="1" s="1"/>
  <c r="J119" i="1"/>
  <c r="Q119" i="1" s="1"/>
  <c r="J122" i="1"/>
  <c r="Q122" i="1" s="1"/>
  <c r="H126" i="1"/>
  <c r="H129" i="1"/>
  <c r="I103" i="1"/>
  <c r="P103" i="1" s="1"/>
  <c r="K106" i="1"/>
  <c r="R106" i="1" s="1"/>
  <c r="M109" i="1"/>
  <c r="T109" i="1" s="1"/>
  <c r="M112" i="1"/>
  <c r="T112" i="1" s="1"/>
  <c r="K116" i="1"/>
  <c r="R116" i="1" s="1"/>
  <c r="K119" i="1"/>
  <c r="R119" i="1" s="1"/>
  <c r="M122" i="1"/>
  <c r="T122" i="1" s="1"/>
  <c r="I126" i="1"/>
  <c r="P126" i="1" s="1"/>
  <c r="I129" i="1"/>
  <c r="P129" i="1" s="1"/>
  <c r="M132" i="1"/>
  <c r="T132" i="1" s="1"/>
  <c r="M135" i="1"/>
  <c r="T135" i="1" s="1"/>
  <c r="I139" i="1"/>
  <c r="P139" i="1" s="1"/>
  <c r="J107" i="1"/>
  <c r="Q107" i="1" s="1"/>
  <c r="J110" i="1"/>
  <c r="Q110" i="1" s="1"/>
  <c r="H114" i="1"/>
  <c r="H117" i="1"/>
  <c r="H120" i="1"/>
  <c r="J130" i="1"/>
  <c r="Q130" i="1" s="1"/>
  <c r="J133" i="1"/>
  <c r="Q133" i="1" s="1"/>
  <c r="J136" i="1"/>
  <c r="Q136" i="1" s="1"/>
  <c r="H140" i="1"/>
  <c r="H105" i="1"/>
  <c r="M108" i="1"/>
  <c r="T108" i="1" s="1"/>
  <c r="H113" i="1"/>
  <c r="J117" i="1"/>
  <c r="Q117" i="1" s="1"/>
  <c r="K121" i="1"/>
  <c r="R121" i="1" s="1"/>
  <c r="M129" i="1"/>
  <c r="T129" i="1" s="1"/>
  <c r="M133" i="1"/>
  <c r="T133" i="1" s="1"/>
  <c r="H138" i="1"/>
  <c r="I105" i="1"/>
  <c r="P105" i="1" s="1"/>
  <c r="J109" i="1"/>
  <c r="Q109" i="1" s="1"/>
  <c r="K113" i="1"/>
  <c r="R113" i="1" s="1"/>
  <c r="K117" i="1"/>
  <c r="R117" i="1" s="1"/>
  <c r="M125" i="1"/>
  <c r="T125" i="1" s="1"/>
  <c r="K130" i="1"/>
  <c r="R130" i="1" s="1"/>
  <c r="H134" i="1"/>
  <c r="K67" i="1"/>
  <c r="R67" i="1" s="1"/>
  <c r="M52" i="1"/>
  <c r="T52" i="1" s="1"/>
  <c r="M49" i="1"/>
  <c r="T49" i="1" s="1"/>
  <c r="J46" i="1"/>
  <c r="Q46" i="1" s="1"/>
  <c r="J43" i="1"/>
  <c r="Q43" i="1" s="1"/>
  <c r="J40" i="1"/>
  <c r="Q40" i="1" s="1"/>
  <c r="M36" i="1"/>
  <c r="T36" i="1" s="1"/>
  <c r="I136" i="1"/>
  <c r="P136" i="1" s="1"/>
  <c r="J131" i="1"/>
  <c r="Q131" i="1" s="1"/>
  <c r="M126" i="1"/>
  <c r="T126" i="1" s="1"/>
  <c r="M121" i="1"/>
  <c r="T121" i="1" s="1"/>
  <c r="M116" i="1"/>
  <c r="T116" i="1" s="1"/>
  <c r="H112" i="1"/>
  <c r="K107" i="1"/>
  <c r="R107" i="1" s="1"/>
  <c r="J67" i="1"/>
  <c r="Q67" i="1" s="1"/>
  <c r="J64" i="1"/>
  <c r="Q64" i="1" s="1"/>
  <c r="K61" i="1"/>
  <c r="R61" i="1" s="1"/>
  <c r="K58" i="1"/>
  <c r="R58" i="1" s="1"/>
  <c r="K55" i="1"/>
  <c r="R55" i="1" s="1"/>
  <c r="I46" i="1"/>
  <c r="P46" i="1" s="1"/>
  <c r="I43" i="1"/>
  <c r="P43" i="1" s="1"/>
  <c r="H40" i="1"/>
  <c r="K140" i="1"/>
  <c r="R140" i="1" s="1"/>
  <c r="H136" i="1"/>
  <c r="I131" i="1"/>
  <c r="P131" i="1" s="1"/>
  <c r="K126" i="1"/>
  <c r="R126" i="1" s="1"/>
  <c r="J121" i="1"/>
  <c r="Q121" i="1" s="1"/>
  <c r="M111" i="1"/>
  <c r="T111" i="1" s="1"/>
  <c r="I107" i="1"/>
  <c r="P107" i="1" s="1"/>
  <c r="J102" i="1"/>
  <c r="Q102" i="1" s="1"/>
  <c r="O115" i="1" l="1" a="1"/>
  <c r="O115" i="1" s="1"/>
  <c r="G115" i="1" s="1"/>
  <c r="O4" i="1" a="1"/>
  <c r="O4" i="1" s="1"/>
  <c r="O44" i="1" a="1"/>
  <c r="O44" i="1" s="1"/>
  <c r="G44" i="1" s="1"/>
  <c r="N37" i="1"/>
  <c r="O69" i="1" a="1"/>
  <c r="O69" i="1" s="1"/>
  <c r="G90" i="1"/>
  <c r="N90" i="1"/>
  <c r="O84" i="1" a="1"/>
  <c r="O84" i="1" s="1"/>
  <c r="G84" i="1" s="1"/>
  <c r="O15" i="1" a="1"/>
  <c r="O15" i="1" s="1"/>
  <c r="G15" i="1" s="1"/>
  <c r="O2" i="1" a="1"/>
  <c r="O2" i="1" s="1"/>
  <c r="G2" i="1" s="1"/>
  <c r="O25" i="1" a="1"/>
  <c r="O25" i="1" s="1"/>
  <c r="G25" i="1" s="1"/>
  <c r="O17" i="1" a="1"/>
  <c r="O17" i="1" s="1"/>
  <c r="G17" i="1" s="1"/>
  <c r="O18" i="1" a="1"/>
  <c r="O18" i="1" s="1"/>
  <c r="G18" i="1" s="1"/>
  <c r="O26" i="1" a="1"/>
  <c r="O26" i="1" s="1"/>
  <c r="G26" i="1" s="1"/>
  <c r="O31" i="1" a="1"/>
  <c r="O31" i="1" s="1"/>
  <c r="G31" i="1" s="1"/>
  <c r="O7" i="1" a="1"/>
  <c r="O7" i="1" s="1"/>
  <c r="G7" i="1" s="1"/>
  <c r="O32" i="1" a="1"/>
  <c r="O32" i="1" s="1"/>
  <c r="G32" i="1" s="1"/>
  <c r="O33" i="1" a="1"/>
  <c r="O33" i="1" s="1"/>
  <c r="G33" i="1" s="1"/>
  <c r="G4" i="1"/>
  <c r="G37" i="1"/>
  <c r="G28" i="1"/>
  <c r="N28" i="1"/>
  <c r="G69" i="1"/>
  <c r="O107" i="1" a="1"/>
  <c r="O107" i="1" s="1"/>
  <c r="G107" i="1" s="1"/>
  <c r="O11" i="1" a="1"/>
  <c r="O11" i="1" s="1"/>
  <c r="G11" i="1" s="1"/>
  <c r="G75" i="1"/>
  <c r="O3" i="1" a="1"/>
  <c r="O3" i="1" s="1"/>
  <c r="G3" i="1" s="1"/>
  <c r="O12" i="1" a="1"/>
  <c r="O12" i="1" s="1"/>
  <c r="G12" i="1" s="1"/>
  <c r="O10" i="1" a="1"/>
  <c r="O10" i="1" s="1"/>
  <c r="G10" i="1" s="1"/>
  <c r="O16" i="1" a="1"/>
  <c r="O16" i="1" s="1"/>
  <c r="G16" i="1" s="1"/>
  <c r="O8" i="1" a="1"/>
  <c r="O8" i="1" s="1"/>
  <c r="G8" i="1" s="1"/>
  <c r="O5" i="1" a="1"/>
  <c r="O5" i="1" s="1"/>
  <c r="G5" i="1" s="1"/>
  <c r="O95" i="1" a="1"/>
  <c r="O95" i="1" s="1"/>
  <c r="G95" i="1" s="1"/>
  <c r="G41" i="1"/>
  <c r="G35" i="1"/>
  <c r="N39" i="1"/>
  <c r="O39" i="1" a="1"/>
  <c r="O39" i="1" s="1"/>
  <c r="G39" i="1" s="1"/>
  <c r="N38" i="1"/>
  <c r="O38" i="1" a="1"/>
  <c r="O38" i="1" s="1"/>
  <c r="G38" i="1" s="1"/>
  <c r="O93" i="1" a="1"/>
  <c r="O93" i="1" s="1"/>
  <c r="G93" i="1" s="1"/>
  <c r="N93" i="1"/>
  <c r="N78" i="1"/>
  <c r="O78" i="1" a="1"/>
  <c r="O78" i="1" s="1"/>
  <c r="G78" i="1" s="1"/>
  <c r="N129" i="1"/>
  <c r="O129" i="1" a="1"/>
  <c r="O129" i="1" s="1"/>
  <c r="G129" i="1" s="1"/>
  <c r="O13" i="1" a="1"/>
  <c r="O13" i="1" s="1"/>
  <c r="G13" i="1" s="1"/>
  <c r="N125" i="1"/>
  <c r="O125" i="1" a="1"/>
  <c r="O125" i="1" s="1"/>
  <c r="G125" i="1" s="1"/>
  <c r="N83" i="1"/>
  <c r="O83" i="1" a="1"/>
  <c r="O83" i="1" s="1"/>
  <c r="G83" i="1" s="1"/>
  <c r="O94" i="1" a="1"/>
  <c r="O94" i="1" s="1"/>
  <c r="G94" i="1" s="1"/>
  <c r="N94" i="1"/>
  <c r="O29" i="1" a="1"/>
  <c r="O29" i="1" s="1"/>
  <c r="G29" i="1" s="1"/>
  <c r="O24" i="1" a="1"/>
  <c r="O24" i="1" s="1"/>
  <c r="G24" i="1" s="1"/>
  <c r="N55" i="1"/>
  <c r="O55" i="1" a="1"/>
  <c r="O55" i="1" s="1"/>
  <c r="G55" i="1" s="1"/>
  <c r="N99" i="1"/>
  <c r="O99" i="1" a="1"/>
  <c r="O99" i="1" s="1"/>
  <c r="G99" i="1" s="1"/>
  <c r="N57" i="1"/>
  <c r="O57" i="1" a="1"/>
  <c r="O57" i="1" s="1"/>
  <c r="G57" i="1" s="1"/>
  <c r="N58" i="1"/>
  <c r="O58" i="1" a="1"/>
  <c r="O58" i="1" s="1"/>
  <c r="G58" i="1" s="1"/>
  <c r="N133" i="1"/>
  <c r="O133" i="1" a="1"/>
  <c r="O133" i="1" s="1"/>
  <c r="G133" i="1" s="1"/>
  <c r="N46" i="1"/>
  <c r="O46" i="1" a="1"/>
  <c r="O46" i="1" s="1"/>
  <c r="G46" i="1" s="1"/>
  <c r="N54" i="1"/>
  <c r="O54" i="1" a="1"/>
  <c r="O54" i="1" s="1"/>
  <c r="G54" i="1" s="1"/>
  <c r="N72" i="1"/>
  <c r="O72" i="1" a="1"/>
  <c r="O72" i="1" s="1"/>
  <c r="G72" i="1" s="1"/>
  <c r="N64" i="1"/>
  <c r="O64" i="1" a="1"/>
  <c r="O64" i="1" s="1"/>
  <c r="G64" i="1" s="1"/>
  <c r="N79" i="1"/>
  <c r="O79" i="1" a="1"/>
  <c r="O79" i="1" s="1"/>
  <c r="G79" i="1" s="1"/>
  <c r="N114" i="1"/>
  <c r="O114" i="1" a="1"/>
  <c r="O114" i="1" s="1"/>
  <c r="G114" i="1" s="1"/>
  <c r="O21" i="1" a="1"/>
  <c r="O21" i="1" s="1"/>
  <c r="G21" i="1" s="1"/>
  <c r="N124" i="1"/>
  <c r="O124" i="1" a="1"/>
  <c r="O124" i="1" s="1"/>
  <c r="G124" i="1" s="1"/>
  <c r="O118" i="1" a="1"/>
  <c r="O118" i="1" s="1"/>
  <c r="G118" i="1" s="1"/>
  <c r="N118" i="1"/>
  <c r="N113" i="1"/>
  <c r="O113" i="1" a="1"/>
  <c r="O113" i="1" s="1"/>
  <c r="G113" i="1" s="1"/>
  <c r="N45" i="1"/>
  <c r="O45" i="1" a="1"/>
  <c r="O45" i="1" s="1"/>
  <c r="G45" i="1" s="1"/>
  <c r="O134" i="1" a="1"/>
  <c r="O134" i="1" s="1"/>
  <c r="G134" i="1" s="1"/>
  <c r="N134" i="1"/>
  <c r="N105" i="1"/>
  <c r="O105" i="1" a="1"/>
  <c r="O105" i="1" s="1"/>
  <c r="G105" i="1" s="1"/>
  <c r="O103" i="1" a="1"/>
  <c r="O103" i="1" s="1"/>
  <c r="G103" i="1" s="1"/>
  <c r="N103" i="1"/>
  <c r="N50" i="1"/>
  <c r="O50" i="1" a="1"/>
  <c r="O50" i="1" s="1"/>
  <c r="G50" i="1" s="1"/>
  <c r="N70" i="1"/>
  <c r="O70" i="1" a="1"/>
  <c r="O70" i="1" s="1"/>
  <c r="G70" i="1" s="1"/>
  <c r="O120" i="1" a="1"/>
  <c r="O120" i="1" s="1"/>
  <c r="G120" i="1" s="1"/>
  <c r="N120" i="1"/>
  <c r="N91" i="1"/>
  <c r="O91" i="1" a="1"/>
  <c r="O91" i="1" s="1"/>
  <c r="G91" i="1" s="1"/>
  <c r="O117" i="1" a="1"/>
  <c r="O117" i="1" s="1"/>
  <c r="G117" i="1" s="1"/>
  <c r="N117" i="1"/>
  <c r="N49" i="1"/>
  <c r="O49" i="1" a="1"/>
  <c r="O49" i="1" s="1"/>
  <c r="G49" i="1" s="1"/>
  <c r="N59" i="1"/>
  <c r="O59" i="1" a="1"/>
  <c r="O59" i="1" s="1"/>
  <c r="G59" i="1" s="1"/>
  <c r="O137" i="1" a="1"/>
  <c r="O137" i="1" s="1"/>
  <c r="G137" i="1" s="1"/>
  <c r="N137" i="1"/>
  <c r="N53" i="1"/>
  <c r="O53" i="1" a="1"/>
  <c r="O53" i="1" s="1"/>
  <c r="G53" i="1" s="1"/>
  <c r="N98" i="1"/>
  <c r="O98" i="1" a="1"/>
  <c r="O98" i="1" s="1"/>
  <c r="G98" i="1" s="1"/>
  <c r="O20" i="1" a="1"/>
  <c r="O20" i="1" s="1"/>
  <c r="G20" i="1" s="1"/>
  <c r="O19" i="1" a="1"/>
  <c r="O19" i="1" s="1"/>
  <c r="G19" i="1" s="1"/>
  <c r="N60" i="1"/>
  <c r="O60" i="1" a="1"/>
  <c r="O60" i="1" s="1"/>
  <c r="G60" i="1" s="1"/>
  <c r="N100" i="1"/>
  <c r="O100" i="1" a="1"/>
  <c r="O100" i="1" s="1"/>
  <c r="G100" i="1" s="1"/>
  <c r="O128" i="1" a="1"/>
  <c r="O128" i="1" s="1"/>
  <c r="G128" i="1" s="1"/>
  <c r="N128" i="1"/>
  <c r="O126" i="1" a="1"/>
  <c r="O126" i="1" s="1"/>
  <c r="G126" i="1" s="1"/>
  <c r="N126" i="1"/>
  <c r="N130" i="1"/>
  <c r="O130" i="1" a="1"/>
  <c r="O130" i="1" s="1"/>
  <c r="G130" i="1" s="1"/>
  <c r="N110" i="1"/>
  <c r="O110" i="1" a="1"/>
  <c r="O110" i="1" s="1"/>
  <c r="G110" i="1" s="1"/>
  <c r="N81" i="1"/>
  <c r="O81" i="1" a="1"/>
  <c r="O81" i="1" s="1"/>
  <c r="G81" i="1" s="1"/>
  <c r="O135" i="1" a="1"/>
  <c r="O135" i="1" s="1"/>
  <c r="G135" i="1" s="1"/>
  <c r="N135" i="1"/>
  <c r="N92" i="1"/>
  <c r="O92" i="1" a="1"/>
  <c r="O92" i="1" s="1"/>
  <c r="G92" i="1" s="1"/>
  <c r="N127" i="1"/>
  <c r="O127" i="1" a="1"/>
  <c r="O127" i="1" s="1"/>
  <c r="G127" i="1" s="1"/>
  <c r="O123" i="1" a="1"/>
  <c r="O123" i="1" s="1"/>
  <c r="G123" i="1" s="1"/>
  <c r="N123" i="1"/>
  <c r="N97" i="1"/>
  <c r="O97" i="1" a="1"/>
  <c r="O97" i="1" s="1"/>
  <c r="G97" i="1" s="1"/>
  <c r="O122" i="1" a="1"/>
  <c r="O122" i="1" s="1"/>
  <c r="G122" i="1" s="1"/>
  <c r="N122" i="1"/>
  <c r="O106" i="1" a="1"/>
  <c r="O106" i="1" s="1"/>
  <c r="G106" i="1" s="1"/>
  <c r="N106" i="1"/>
  <c r="N116" i="1"/>
  <c r="O116" i="1" a="1"/>
  <c r="O116" i="1" s="1"/>
  <c r="G116" i="1" s="1"/>
  <c r="N111" i="1"/>
  <c r="O111" i="1" a="1"/>
  <c r="O111" i="1" s="1"/>
  <c r="G111" i="1" s="1"/>
  <c r="N77" i="1"/>
  <c r="O77" i="1" a="1"/>
  <c r="O77" i="1" s="1"/>
  <c r="G77" i="1" s="1"/>
  <c r="N80" i="1"/>
  <c r="O80" i="1" a="1"/>
  <c r="O80" i="1" s="1"/>
  <c r="G80" i="1" s="1"/>
  <c r="O6" i="1" a="1"/>
  <c r="O6" i="1" s="1"/>
  <c r="G6" i="1" s="1"/>
  <c r="O112" i="1" a="1"/>
  <c r="O112" i="1" s="1"/>
  <c r="G112" i="1" s="1"/>
  <c r="N112" i="1"/>
  <c r="O101" i="1" a="1"/>
  <c r="O101" i="1" s="1"/>
  <c r="G101" i="1" s="1"/>
  <c r="N101" i="1"/>
  <c r="O104" i="1" a="1"/>
  <c r="O104" i="1" s="1"/>
  <c r="G104" i="1" s="1"/>
  <c r="N104" i="1"/>
  <c r="N36" i="1"/>
  <c r="O36" i="1" a="1"/>
  <c r="O36" i="1" s="1"/>
  <c r="G36" i="1" s="1"/>
  <c r="N43" i="1"/>
  <c r="O43" i="1" a="1"/>
  <c r="O43" i="1" s="1"/>
  <c r="G43" i="1" s="1"/>
  <c r="N73" i="1"/>
  <c r="O73" i="1" a="1"/>
  <c r="O73" i="1" s="1"/>
  <c r="G73" i="1" s="1"/>
  <c r="N108" i="1"/>
  <c r="O108" i="1" a="1"/>
  <c r="O108" i="1" s="1"/>
  <c r="G108" i="1" s="1"/>
  <c r="O22" i="1" a="1"/>
  <c r="O22" i="1" s="1"/>
  <c r="G22" i="1" s="1"/>
  <c r="O9" i="1" a="1"/>
  <c r="O9" i="1" s="1"/>
  <c r="G9" i="1" s="1"/>
  <c r="N63" i="1"/>
  <c r="O63" i="1" a="1"/>
  <c r="O63" i="1" s="1"/>
  <c r="G63" i="1" s="1"/>
  <c r="N65" i="1"/>
  <c r="O65" i="1" a="1"/>
  <c r="O65" i="1" s="1"/>
  <c r="G65" i="1" s="1"/>
  <c r="O119" i="1" a="1"/>
  <c r="O119" i="1" s="1"/>
  <c r="G119" i="1" s="1"/>
  <c r="N119" i="1"/>
  <c r="N66" i="1"/>
  <c r="O66" i="1" a="1"/>
  <c r="O66" i="1" s="1"/>
  <c r="G66" i="1" s="1"/>
  <c r="N139" i="1"/>
  <c r="O139" i="1" a="1"/>
  <c r="O139" i="1" s="1"/>
  <c r="G139" i="1" s="1"/>
  <c r="N82" i="1"/>
  <c r="O82" i="1" a="1"/>
  <c r="O82" i="1" s="1"/>
  <c r="G82" i="1" s="1"/>
  <c r="N74" i="1"/>
  <c r="O74" i="1" a="1"/>
  <c r="O74" i="1" s="1"/>
  <c r="G74" i="1" s="1"/>
  <c r="N138" i="1"/>
  <c r="O138" i="1" a="1"/>
  <c r="O138" i="1" s="1"/>
  <c r="G138" i="1" s="1"/>
  <c r="O132" i="1" a="1"/>
  <c r="O132" i="1" s="1"/>
  <c r="G132" i="1" s="1"/>
  <c r="N132" i="1"/>
  <c r="N51" i="1"/>
  <c r="O51" i="1" a="1"/>
  <c r="O51" i="1" s="1"/>
  <c r="G51" i="1" s="1"/>
  <c r="N42" i="1"/>
  <c r="O42" i="1" a="1"/>
  <c r="O42" i="1" s="1"/>
  <c r="G42" i="1" s="1"/>
  <c r="O23" i="1" a="1"/>
  <c r="O23" i="1" s="1"/>
  <c r="G23" i="1" s="1"/>
  <c r="O27" i="1" a="1"/>
  <c r="O27" i="1" s="1"/>
  <c r="G27" i="1" s="1"/>
  <c r="N86" i="1"/>
  <c r="O86" i="1" a="1"/>
  <c r="O86" i="1" s="1"/>
  <c r="G86" i="1" s="1"/>
  <c r="N89" i="1"/>
  <c r="O89" i="1" a="1"/>
  <c r="O89" i="1" s="1"/>
  <c r="G89" i="1" s="1"/>
  <c r="N87" i="1"/>
  <c r="O87" i="1" a="1"/>
  <c r="O87" i="1" s="1"/>
  <c r="G87" i="1" s="1"/>
  <c r="N47" i="1"/>
  <c r="O47" i="1" a="1"/>
  <c r="O47" i="1" s="1"/>
  <c r="G47" i="1" s="1"/>
  <c r="N62" i="1"/>
  <c r="O62" i="1" a="1"/>
  <c r="O62" i="1" s="1"/>
  <c r="G62" i="1" s="1"/>
  <c r="O14" i="1" a="1"/>
  <c r="O14" i="1" s="1"/>
  <c r="G14" i="1" s="1"/>
  <c r="N109" i="1"/>
  <c r="O109" i="1" a="1"/>
  <c r="O109" i="1" s="1"/>
  <c r="G109" i="1" s="1"/>
  <c r="O34" i="1" a="1"/>
  <c r="O34" i="1" s="1"/>
  <c r="G34" i="1" s="1"/>
  <c r="O102" i="1" a="1"/>
  <c r="O102" i="1" s="1"/>
  <c r="G102" i="1" s="1"/>
  <c r="N102" i="1"/>
  <c r="O61" i="1" a="1"/>
  <c r="O61" i="1" s="1"/>
  <c r="G61" i="1" s="1"/>
  <c r="N61" i="1"/>
  <c r="N67" i="1"/>
  <c r="O67" i="1" a="1"/>
  <c r="O67" i="1" s="1"/>
  <c r="G67" i="1" s="1"/>
  <c r="N88" i="1"/>
  <c r="O88" i="1" a="1"/>
  <c r="O88" i="1" s="1"/>
  <c r="G88" i="1" s="1"/>
  <c r="N96" i="1"/>
  <c r="O96" i="1" a="1"/>
  <c r="O96" i="1" s="1"/>
  <c r="G96" i="1" s="1"/>
  <c r="O131" i="1" a="1"/>
  <c r="O131" i="1" s="1"/>
  <c r="G131" i="1" s="1"/>
  <c r="N131" i="1"/>
  <c r="N40" i="1"/>
  <c r="O40" i="1" a="1"/>
  <c r="O40" i="1" s="1"/>
  <c r="G40" i="1" s="1"/>
  <c r="O121" i="1" a="1"/>
  <c r="O121" i="1" s="1"/>
  <c r="G121" i="1" s="1"/>
  <c r="N121" i="1"/>
  <c r="O76" i="1" a="1"/>
  <c r="O76" i="1" s="1"/>
  <c r="G76" i="1" s="1"/>
  <c r="N76" i="1"/>
  <c r="N71" i="1"/>
  <c r="O71" i="1" a="1"/>
  <c r="O71" i="1" s="1"/>
  <c r="G71" i="1" s="1"/>
  <c r="N85" i="1"/>
  <c r="O85" i="1" a="1"/>
  <c r="O85" i="1" s="1"/>
  <c r="G85" i="1" s="1"/>
  <c r="N52" i="1"/>
  <c r="O52" i="1" a="1"/>
  <c r="O52" i="1" s="1"/>
  <c r="G52" i="1" s="1"/>
  <c r="N140" i="1"/>
  <c r="O140" i="1" a="1"/>
  <c r="O140" i="1" s="1"/>
  <c r="G140" i="1" s="1"/>
  <c r="O30" i="1" a="1"/>
  <c r="O30" i="1" s="1"/>
  <c r="G30" i="1" s="1"/>
  <c r="O136" i="1" a="1"/>
  <c r="O136" i="1" s="1"/>
  <c r="G136" i="1" s="1"/>
  <c r="N136" i="1"/>
  <c r="N56" i="1"/>
  <c r="O56" i="1" a="1"/>
  <c r="O56" i="1" s="1"/>
  <c r="G56" i="1" s="1"/>
  <c r="N68" i="1"/>
  <c r="O68" i="1" a="1"/>
  <c r="O68" i="1" s="1"/>
  <c r="G68" i="1" s="1"/>
  <c r="N48" i="1"/>
  <c r="O48" i="1" a="1"/>
  <c r="O48" i="1" s="1"/>
  <c r="G4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<sst xmlns="http://schemas.openxmlformats.org/spreadsheetml/2006/main" count="708" uniqueCount="350">
  <si>
    <t>佐々木　慎吾</t>
  </si>
  <si>
    <t>ハッカソン１</t>
  </si>
  <si>
    <t>733演習室</t>
  </si>
  <si>
    <t>大澤　亮哉</t>
  </si>
  <si>
    <t>長田　慎太郎</t>
  </si>
  <si>
    <t>林　拓人</t>
  </si>
  <si>
    <t>水川　脩平</t>
  </si>
  <si>
    <t>枠谷　友太</t>
  </si>
  <si>
    <t>荒井　響太</t>
  </si>
  <si>
    <t>立見　優樹</t>
  </si>
  <si>
    <t>丸山　大晴</t>
  </si>
  <si>
    <t>宮崎　基</t>
  </si>
  <si>
    <t>24G1036</t>
  </si>
  <si>
    <t>織田　楽文</t>
  </si>
  <si>
    <t>24G1081</t>
  </si>
  <si>
    <t>諏訪　大翔</t>
  </si>
  <si>
    <t>732講義室</t>
  </si>
  <si>
    <t>731講義室</t>
  </si>
  <si>
    <t>24G1139</t>
  </si>
  <si>
    <t>山根　竜希</t>
  </si>
  <si>
    <t>24G1001</t>
  </si>
  <si>
    <t>相京　航汰</t>
  </si>
  <si>
    <t>ハッカソン２</t>
  </si>
  <si>
    <t>722講義室</t>
  </si>
  <si>
    <t>24G1002</t>
  </si>
  <si>
    <t>秋葉　聖哉</t>
  </si>
  <si>
    <t>24G1003</t>
  </si>
  <si>
    <t>麻田　竜希</t>
  </si>
  <si>
    <t>24G1004</t>
  </si>
  <si>
    <t>浅田　和奏</t>
  </si>
  <si>
    <t>24G1005</t>
  </si>
  <si>
    <t>淺沼　龍太</t>
  </si>
  <si>
    <t>24G1006</t>
  </si>
  <si>
    <t>足立　輝弥</t>
  </si>
  <si>
    <t>24G1007</t>
  </si>
  <si>
    <t>網中　洲</t>
  </si>
  <si>
    <t>24G1008</t>
  </si>
  <si>
    <t>飯田　雄之介</t>
  </si>
  <si>
    <t>24G1009</t>
  </si>
  <si>
    <t>井澤　晴空</t>
  </si>
  <si>
    <t>24G1010</t>
  </si>
  <si>
    <t>石川　司理</t>
  </si>
  <si>
    <t>24G1011</t>
  </si>
  <si>
    <t>石川　敏伸</t>
  </si>
  <si>
    <t>24G1012</t>
  </si>
  <si>
    <t>石坂　琢磨</t>
  </si>
  <si>
    <t>24G1013</t>
  </si>
  <si>
    <t>石崎　一葉</t>
  </si>
  <si>
    <t>24G1014</t>
  </si>
  <si>
    <t>市川　瑠生</t>
  </si>
  <si>
    <t>24G1015</t>
  </si>
  <si>
    <t>市瀬　広樹</t>
  </si>
  <si>
    <t>24G1016</t>
  </si>
  <si>
    <t>伊藤　脩</t>
  </si>
  <si>
    <t>24G1017</t>
  </si>
  <si>
    <t>井上　悠</t>
  </si>
  <si>
    <t>24G1018</t>
  </si>
  <si>
    <t>岩岡　悠衣花</t>
  </si>
  <si>
    <t>24G1019</t>
  </si>
  <si>
    <t>岩永　幹</t>
  </si>
  <si>
    <t>24G1020</t>
  </si>
  <si>
    <t>岩波　晃士</t>
  </si>
  <si>
    <t>24G1021</t>
  </si>
  <si>
    <t>宇井　祐真</t>
  </si>
  <si>
    <t>24G1022</t>
  </si>
  <si>
    <t>上坂　大河</t>
  </si>
  <si>
    <t>24G1023</t>
  </si>
  <si>
    <t>上原　拓海</t>
  </si>
  <si>
    <t>24G1024</t>
  </si>
  <si>
    <t>鵜澤　勇希</t>
  </si>
  <si>
    <t>24G1025</t>
  </si>
  <si>
    <t>生方　淳裕</t>
  </si>
  <si>
    <t>24G1026</t>
  </si>
  <si>
    <t>梅野　大誠</t>
  </si>
  <si>
    <t>24G1028</t>
  </si>
  <si>
    <t>大關　宗一郎</t>
  </si>
  <si>
    <t>24G1029</t>
  </si>
  <si>
    <t>大嶺　壮志</t>
  </si>
  <si>
    <t>24G1030</t>
  </si>
  <si>
    <t>大室　信明</t>
  </si>
  <si>
    <t>24G1031</t>
  </si>
  <si>
    <t>小川　泰生</t>
  </si>
  <si>
    <t>24G1032</t>
  </si>
  <si>
    <t>荻野　泰地</t>
  </si>
  <si>
    <t>24G1033</t>
  </si>
  <si>
    <t>荻野　真矢</t>
  </si>
  <si>
    <t>24G1034</t>
  </si>
  <si>
    <t>小口　悠翔</t>
  </si>
  <si>
    <t>24G1035</t>
  </si>
  <si>
    <t>尾添　遼太</t>
  </si>
  <si>
    <t>24G1037</t>
  </si>
  <si>
    <t>小山　絢</t>
  </si>
  <si>
    <t>24G1038</t>
  </si>
  <si>
    <t>片岡　聖</t>
  </si>
  <si>
    <t>24G1039</t>
  </si>
  <si>
    <t>金海　聖人</t>
  </si>
  <si>
    <t>24G1040</t>
  </si>
  <si>
    <t>金枝　優介</t>
  </si>
  <si>
    <t>24G1041</t>
  </si>
  <si>
    <t>金澤　開晴</t>
  </si>
  <si>
    <t>24G1042</t>
  </si>
  <si>
    <t>鎌田　素木</t>
  </si>
  <si>
    <t>24G1043</t>
  </si>
  <si>
    <t>加茂　釉芭</t>
  </si>
  <si>
    <t>24G1044</t>
  </si>
  <si>
    <t>河井　晴仁</t>
  </si>
  <si>
    <t>24G1045</t>
  </si>
  <si>
    <t>川畑　吏生</t>
  </si>
  <si>
    <t>24G1046</t>
  </si>
  <si>
    <t>川又　快斗</t>
  </si>
  <si>
    <t>24G1050</t>
  </si>
  <si>
    <t>木村　優斗</t>
  </si>
  <si>
    <t>24G1051</t>
  </si>
  <si>
    <t>久峩　丈</t>
  </si>
  <si>
    <t>24G1052</t>
  </si>
  <si>
    <t>久家　力孔</t>
  </si>
  <si>
    <t>24G1053</t>
  </si>
  <si>
    <t>熊本　朱純</t>
  </si>
  <si>
    <t>24G1055</t>
  </si>
  <si>
    <t>桑原　拓也</t>
  </si>
  <si>
    <t>24G1056</t>
  </si>
  <si>
    <t>慶田　優</t>
  </si>
  <si>
    <t>24G1057</t>
  </si>
  <si>
    <t>此上　健友</t>
  </si>
  <si>
    <t>24G1059</t>
  </si>
  <si>
    <t>小松　遼翔</t>
  </si>
  <si>
    <t>24G1060</t>
  </si>
  <si>
    <t>齊藤　銀二</t>
  </si>
  <si>
    <t>24G1061</t>
  </si>
  <si>
    <t>酒井　睦基</t>
  </si>
  <si>
    <t>24G1063</t>
  </si>
  <si>
    <t>佐藤　碧唯</t>
  </si>
  <si>
    <t>24G1064</t>
  </si>
  <si>
    <t>佐藤　陽空</t>
  </si>
  <si>
    <t>24G1066</t>
  </si>
  <si>
    <t>佐藤　琉惺</t>
  </si>
  <si>
    <t>24G1067</t>
  </si>
  <si>
    <t>佐野　皓紀</t>
  </si>
  <si>
    <t>24G1068</t>
  </si>
  <si>
    <t>沢田　迅</t>
  </si>
  <si>
    <t>24G1070</t>
  </si>
  <si>
    <t>重冨　陽人</t>
  </si>
  <si>
    <t>24G1071</t>
  </si>
  <si>
    <t>柴崎　悠瑞</t>
  </si>
  <si>
    <t>24G1072</t>
  </si>
  <si>
    <t>澁谷　祐汰</t>
  </si>
  <si>
    <t>24G1073</t>
  </si>
  <si>
    <t>清水　優花</t>
  </si>
  <si>
    <t>24G1074</t>
  </si>
  <si>
    <t>荘司　あかね</t>
  </si>
  <si>
    <t>24G1075</t>
  </si>
  <si>
    <t>地曵　賢人</t>
  </si>
  <si>
    <t>24G1076</t>
  </si>
  <si>
    <t>末松　勇輝</t>
  </si>
  <si>
    <t>24G1077</t>
  </si>
  <si>
    <t>鈴木　希歩</t>
  </si>
  <si>
    <t>24G1078</t>
  </si>
  <si>
    <t>鈴木　琉</t>
  </si>
  <si>
    <t>24G1079</t>
  </si>
  <si>
    <t>鈴木　涼斗</t>
  </si>
  <si>
    <t>24G1080</t>
  </si>
  <si>
    <t>須磨　奏斗</t>
  </si>
  <si>
    <t>24G1082</t>
  </si>
  <si>
    <t>清吾　友美</t>
  </si>
  <si>
    <t>24G1083</t>
  </si>
  <si>
    <t>清宮　俊</t>
  </si>
  <si>
    <t>24G1084</t>
  </si>
  <si>
    <t>関屋　咲希</t>
  </si>
  <si>
    <t>24G1085</t>
  </si>
  <si>
    <t>瀬部　直人</t>
  </si>
  <si>
    <t>24G1086</t>
  </si>
  <si>
    <t>楚山　聖七</t>
  </si>
  <si>
    <t>24G1087</t>
  </si>
  <si>
    <t>鷹觜　隼</t>
  </si>
  <si>
    <t>24G1088</t>
  </si>
  <si>
    <t>武井　佑樹</t>
  </si>
  <si>
    <t>24G1089</t>
  </si>
  <si>
    <t>武本　龍</t>
  </si>
  <si>
    <t>24G1090</t>
  </si>
  <si>
    <t>田子　隼斗</t>
  </si>
  <si>
    <t>24G1091</t>
  </si>
  <si>
    <t>田代　壮</t>
  </si>
  <si>
    <t>24G1092</t>
  </si>
  <si>
    <t>田中　斗百矢</t>
  </si>
  <si>
    <t>24G1094</t>
  </si>
  <si>
    <t>斎藤　拓海</t>
  </si>
  <si>
    <t>24G1095</t>
  </si>
  <si>
    <t>塚田　快音</t>
  </si>
  <si>
    <t>24G1096</t>
  </si>
  <si>
    <t>堤　千真</t>
  </si>
  <si>
    <t>24G1097</t>
  </si>
  <si>
    <t>坪井　龍之介</t>
  </si>
  <si>
    <t>24G1098</t>
  </si>
  <si>
    <t>手代木　巧</t>
  </si>
  <si>
    <t>24G1099</t>
  </si>
  <si>
    <t>寺田　幸正</t>
  </si>
  <si>
    <t>24G1100</t>
  </si>
  <si>
    <t>戸田　健太</t>
  </si>
  <si>
    <t>24G1101</t>
  </si>
  <si>
    <t>飛田　啓斗</t>
  </si>
  <si>
    <t>24G1102</t>
  </si>
  <si>
    <t>冨田　一之心</t>
  </si>
  <si>
    <t>24G1103</t>
  </si>
  <si>
    <t>中野　詩音</t>
  </si>
  <si>
    <t>24G1105</t>
  </si>
  <si>
    <t>長妻　冬威</t>
  </si>
  <si>
    <t>24G1106</t>
  </si>
  <si>
    <t>根本　愛莉咲</t>
  </si>
  <si>
    <t>24G1107</t>
  </si>
  <si>
    <t>野口　滉太</t>
  </si>
  <si>
    <t>24G1108</t>
  </si>
  <si>
    <t>長谷川　空</t>
  </si>
  <si>
    <t>24G1109</t>
  </si>
  <si>
    <t>林田　裕太朗</t>
  </si>
  <si>
    <t>24G1110</t>
  </si>
  <si>
    <t>葉山　颯太</t>
  </si>
  <si>
    <t>24G1111</t>
  </si>
  <si>
    <t>原　颯登</t>
  </si>
  <si>
    <t>24G1113</t>
  </si>
  <si>
    <t>坂　泰河</t>
  </si>
  <si>
    <t>24G1114</t>
  </si>
  <si>
    <t>日暮　太志</t>
  </si>
  <si>
    <t>24G1115</t>
  </si>
  <si>
    <t>比志　佳代</t>
  </si>
  <si>
    <t>24G1116</t>
  </si>
  <si>
    <t>平岡　祐典</t>
  </si>
  <si>
    <t>24G1117</t>
  </si>
  <si>
    <t>平川　ケン</t>
  </si>
  <si>
    <t>24G1118</t>
  </si>
  <si>
    <t>平峯　佑亮</t>
  </si>
  <si>
    <t>24G1119</t>
  </si>
  <si>
    <t>福田　人和</t>
  </si>
  <si>
    <t>24G1120</t>
  </si>
  <si>
    <t>藤本　眞輝</t>
  </si>
  <si>
    <t>24G1121</t>
  </si>
  <si>
    <t>ベ　シウ</t>
  </si>
  <si>
    <t>24G1122</t>
  </si>
  <si>
    <t>細澤　悠真</t>
  </si>
  <si>
    <t>24G1123</t>
  </si>
  <si>
    <t>真下　詩生</t>
  </si>
  <si>
    <t>24G1124</t>
  </si>
  <si>
    <t>三木　俊英</t>
  </si>
  <si>
    <t>24G1125</t>
  </si>
  <si>
    <t>三芝　空音</t>
  </si>
  <si>
    <t>24G1126</t>
  </si>
  <si>
    <t>三島　遙玖</t>
  </si>
  <si>
    <t>24G1127</t>
  </si>
  <si>
    <t>水田　悠斗</t>
  </si>
  <si>
    <t>24G1128</t>
  </si>
  <si>
    <t>三原　千周</t>
  </si>
  <si>
    <t>24G1130</t>
  </si>
  <si>
    <t>宮崎　良真</t>
  </si>
  <si>
    <t>24G1131</t>
  </si>
  <si>
    <t>御代川　稜</t>
  </si>
  <si>
    <t>24G1133</t>
  </si>
  <si>
    <t>安尾　晃貴</t>
  </si>
  <si>
    <t>24G1136</t>
  </si>
  <si>
    <t>山口　侑希</t>
  </si>
  <si>
    <t>24G1138</t>
  </si>
  <si>
    <t>山下　輝明</t>
  </si>
  <si>
    <t>24G1140</t>
  </si>
  <si>
    <t>吉岡　優</t>
  </si>
  <si>
    <t>24G1141</t>
  </si>
  <si>
    <t>米津　はるか</t>
  </si>
  <si>
    <t>24G1142</t>
  </si>
  <si>
    <t>米原　亙</t>
  </si>
  <si>
    <t>24G1143</t>
  </si>
  <si>
    <t>渡辺　一丸</t>
  </si>
  <si>
    <t>24G1144</t>
  </si>
  <si>
    <t>渡邉　晃大</t>
  </si>
  <si>
    <t>24G1145</t>
  </si>
  <si>
    <t>渡邊　乃斗</t>
  </si>
  <si>
    <t>24G1146</t>
  </si>
  <si>
    <t>渡邉　那音</t>
  </si>
  <si>
    <t>733演習室</t>
    <phoneticPr fontId="1"/>
  </si>
  <si>
    <t>722講義室</t>
    <phoneticPr fontId="1"/>
  </si>
  <si>
    <t>チーム</t>
  </si>
  <si>
    <t>チーム</t>
    <phoneticPr fontId="1"/>
  </si>
  <si>
    <t>参考</t>
    <rPh sb="0" eb="2">
      <t>サンコウ</t>
    </rPh>
    <phoneticPr fontId="1"/>
  </si>
  <si>
    <t>講義室</t>
    <rPh sb="0" eb="3">
      <t>コウギシツ</t>
    </rPh>
    <phoneticPr fontId="1"/>
  </si>
  <si>
    <t>講義</t>
    <rPh sb="0" eb="2">
      <t>コウギ</t>
    </rPh>
    <phoneticPr fontId="1"/>
  </si>
  <si>
    <t>氏名</t>
    <rPh sb="0" eb="2">
      <t>シメイ</t>
    </rPh>
    <phoneticPr fontId="1"/>
  </si>
  <si>
    <t>学籍番号</t>
    <rPh sb="0" eb="4">
      <t>ガクセキバンゴウ</t>
    </rPh>
    <phoneticPr fontId="1"/>
  </si>
  <si>
    <t>プレゼン構成</t>
  </si>
  <si>
    <t>資料</t>
  </si>
  <si>
    <t>態度・話し方</t>
  </si>
  <si>
    <t>質疑応答</t>
  </si>
  <si>
    <t>メモ</t>
  </si>
  <si>
    <t>0(D)</t>
  </si>
  <si>
    <t>1(C)</t>
  </si>
  <si>
    <t>2(B)</t>
  </si>
  <si>
    <t>3(A)</t>
  </si>
  <si>
    <t>客観性・根拠性</t>
    <rPh sb="0" eb="3">
      <t>キャッカンセイ</t>
    </rPh>
    <rPh sb="4" eb="7">
      <t>コンキョセイ</t>
    </rPh>
    <phoneticPr fontId="1"/>
  </si>
  <si>
    <t>評価</t>
    <rPh sb="0" eb="2">
      <t>ヒョウカ</t>
    </rPh>
    <phoneticPr fontId="1"/>
  </si>
  <si>
    <t>発表時間</t>
    <rPh sb="0" eb="4">
      <t>ハッピョウジカン</t>
    </rPh>
    <phoneticPr fontId="1"/>
  </si>
  <si>
    <r>
      <t>発表時間</t>
    </r>
    <r>
      <rPr>
        <b/>
        <sz val="11"/>
        <rFont val="游ゴシック"/>
        <family val="3"/>
        <charset val="128"/>
        <scheme val="minor"/>
      </rPr>
      <t>(6分24秒→624と入力)</t>
    </r>
    <rPh sb="0" eb="4">
      <t>ハッピョウジカン</t>
    </rPh>
    <rPh sb="6" eb="7">
      <t>プン</t>
    </rPh>
    <rPh sb="9" eb="10">
      <t>ビョウ</t>
    </rPh>
    <rPh sb="15" eb="17">
      <t>ニュウリョク</t>
    </rPh>
    <phoneticPr fontId="1"/>
  </si>
  <si>
    <t>倍率</t>
    <rPh sb="0" eb="2">
      <t>バイリツ</t>
    </rPh>
    <phoneticPr fontId="1"/>
  </si>
  <si>
    <t>合計点</t>
    <rPh sb="0" eb="3">
      <t>ゴウケイテン</t>
    </rPh>
    <phoneticPr fontId="1"/>
  </si>
  <si>
    <t>発表時間2</t>
    <rPh sb="0" eb="5">
      <t>ハッピョウジカン2</t>
    </rPh>
    <phoneticPr fontId="1"/>
  </si>
  <si>
    <t>プレゼン構成3</t>
  </si>
  <si>
    <t>客観性・根拠性4</t>
    <rPh sb="0" eb="3">
      <t>キャッカンセイコンキョセイ4</t>
    </rPh>
    <phoneticPr fontId="1"/>
  </si>
  <si>
    <t>資料5</t>
  </si>
  <si>
    <t>態度・話し方6</t>
  </si>
  <si>
    <t>質疑応答7</t>
  </si>
  <si>
    <t>光の点滅同期オーケストラ</t>
  </si>
  <si>
    <t>加速度センサを用いた身体動作による輪唱制御システムの構築と視覚的フィードバックの効果</t>
  </si>
  <si>
    <t>音階対応LED表示機能を用いた楽器間同期演奏システム</t>
  </si>
  <si>
    <t>受動的環境介入によるメンタルヘルス支援：大学空間における自動演奏装置の提案</t>
  </si>
  <si>
    <t>拍手のテンポ検出による観客参加型輪唱システム</t>
  </si>
  <si>
    <t>カラーセンシングを用いた楽器演奏制御システム</t>
  </si>
  <si>
    <t>LED同期を用いた輪唱曲演奏システム</t>
  </si>
  <si>
    <t>可視光通信とスペクトル表示を用いた同期演奏システム</t>
  </si>
  <si>
    <t>赤外線通信で歌うカエル</t>
  </si>
  <si>
    <t>光を用いた輪奏システム_x000D_
~カエルの歌で奏でるアンサンブル~</t>
  </si>
  <si>
    <t>LED・UDP通信を用いたイベントトリガー型輪唱演奏システム</t>
  </si>
  <si>
    <t>現代の音楽鑑賞での視覚情報の欠如に伴う没入感の低下を解消するために演奏動作の模倣とI2C通信の演奏同期による生演奏感を提供するArduinoオーケストラ</t>
  </si>
  <si>
    <t>赤外線同期及び複数Arduinoによる演奏・照明演出システム</t>
  </si>
  <si>
    <t>害獣対策機能を備えた接近応答型Arduino同期演奏システム</t>
  </si>
  <si>
    <t>直感的DJインターフェイスを持つ輪唱演奏システム</t>
  </si>
  <si>
    <t>脈拍でテンポが変化するオーケストラ</t>
  </si>
  <si>
    <t>長周期同期ストリーミング用いた通信負荷低減による低ジッター自動演奏システム</t>
  </si>
  <si>
    <t>ハイウェイの管弦楽(オーケストラ)</t>
  </si>
  <si>
    <t>赤外線通信を用いたズレの少ないオーケストラ演奏システムの作成</t>
  </si>
  <si>
    <t>回せ！カエルDJ</t>
  </si>
  <si>
    <t>有線接続による低遅延リアルタイム演奏システム</t>
  </si>
  <si>
    <t>周波数を用いたリズム同期システムのArduinoオーケストラ</t>
  </si>
  <si>
    <t>タクトーン~ IMUジェスチャーで奏でるArduinoオーケストラ~</t>
  </si>
  <si>
    <t>LED鍵盤を用いて視覚的に理解できる合奏システム</t>
  </si>
  <si>
    <t>カウントイン信号を用いたArduinoオーケストラの提案</t>
  </si>
  <si>
    <t>単一のフルカラーLEDとArduinoを用いた光無線通信による楽器間同期演奏システム</t>
  </si>
  <si>
    <t>RGB LEDの発光状態を利用した楽器間同期演奏システム</t>
  </si>
  <si>
    <t>無線通信を用いた時刻同期Arduinoオーケストラ</t>
  </si>
  <si>
    <t>マトリクスメトロノームによる Arduino オーケストラ</t>
  </si>
  <si>
    <t>スリット円盤と光センサ群を用いたArduino楽器同期システム</t>
  </si>
  <si>
    <t>メリーゴーラウンド型輪唱システム</t>
  </si>
  <si>
    <t>指揮者人形による自律同期Arduinoオーケストラ</t>
  </si>
  <si>
    <t>光信号を用いて各楽器を同期させよう</t>
  </si>
  <si>
    <t>君が指揮する_x000D_
Arduinoオーケストラ</t>
  </si>
  <si>
    <t>マーチングバンド風回転式Arudinoオーケストラ</t>
  </si>
  <si>
    <t>身体動作が困難な指揮者支援に向けたレーザ照射同期による輪唱曲演奏システムの開発</t>
  </si>
  <si>
    <t>メトロノーム同期に基づくBPM可変式演奏システムの開発</t>
  </si>
  <si>
    <t>パルス結合振動子系を用いた自律分散型合奏システム</t>
  </si>
  <si>
    <t>要介護者も楽しめる輪唱・オーケストラ</t>
  </si>
  <si>
    <t>マジカル☆観覧車</t>
  </si>
  <si>
    <t xml:space="preserve">Froguino（フログイーノ） ~カエルの歌輪唱システム~_x000D_
</t>
  </si>
  <si>
    <t>ピタゴラ伝言ゲーム</t>
  </si>
  <si>
    <t>新しい通信インフラの提案</t>
  </si>
  <si>
    <t>発表順番用(降順)</t>
    <rPh sb="0" eb="4">
      <t>ハッピョウジュンバン</t>
    </rPh>
    <rPh sb="4" eb="5">
      <t>ヨウ</t>
    </rPh>
    <rPh sb="6" eb="8">
      <t>コウジュン</t>
    </rPh>
    <phoneticPr fontId="1"/>
  </si>
  <si>
    <t>題目</t>
    <rPh sb="0" eb="2">
      <t>ダイモク</t>
    </rPh>
    <phoneticPr fontId="1"/>
  </si>
  <si>
    <t>チーム</t>
    <rPh sb="0" eb="2">
      <t>ダイモク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</si>
</sst>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分&quot;00&quot;秒&quot;"/>
  </numFmts>
  <fonts count="11">
    <font>
      <sz val="11"/>
      <color theme="1"/>
      <name val="游ゴシック"/>
      <family val="2"/>
      <charset val="128"/>
      <scheme val="minor"/>
    </font>
    <font>
      <sz val="6"/>
      <name val="游ゴシック"/>
      <family val="2"/>
      <charset val="128"/>
      <scheme val="minor"/>
    </font>
    <font>
      <sz val="12"/>
      <color theme="1"/>
      <name val="游ゴシック"/>
      <family val="2"/>
      <charset val="128"/>
      <scheme val="minor"/>
    </font>
    <font>
      <sz val="12"/>
      <color theme="1"/>
      <name val="游ゴシック"/>
      <family val="3"/>
      <charset val="128"/>
      <scheme val="minor"/>
    </font>
    <font>
      <sz val="14"/>
      <name val="游ゴシック"/>
      <family val="3"/>
      <charset val="128"/>
      <scheme val="minor"/>
    </font>
    <font>
      <b/>
      <sz val="22"/>
      <name val="游ゴシック"/>
      <family val="3"/>
      <charset val="128"/>
      <scheme val="minor"/>
    </font>
    <font>
      <b/>
      <sz val="14"/>
      <color theme="1"/>
      <name val="游ゴシック"/>
      <family val="3"/>
      <charset val="128"/>
      <scheme val="minor"/>
    </font>
    <font>
      <b/>
      <sz val="14"/>
      <name val="游ゴシック"/>
      <family val="3"/>
      <charset val="128"/>
      <scheme val="minor"/>
    </font>
    <font>
      <sz val="18"/>
      <color theme="1"/>
      <name val="游ゴシック"/>
      <family val="3"/>
      <charset val="128"/>
      <scheme val="minor"/>
    </font>
    <font>
      <b/>
      <sz val="11"/>
      <name val="游ゴシック"/>
      <family val="3"/>
      <charset val="128"/>
      <scheme val="minor"/>
    </font>
    <font>
      <sz val="22"/>
      <name val="游ゴシック"/>
      <family val="3"/>
      <charset val="128"/>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s>
  <cellStyleXfs count="2">
    <xf numFmtId="0" fontId="0" fillId="0" borderId="0">
      <alignment vertical="center"/>
    </xf>
    <xf numFmtId="0" fontId="2" fillId="0" borderId="0">
      <alignment vertical="center"/>
    </xf>
  </cellStyleXfs>
  <cellXfs count="38">
    <xf numFmtId="0" fontId="0" fillId="0" borderId="0" xfId="0">
      <alignment vertical="center"/>
    </xf>
    <xf numFmtId="0" fontId="3" fillId="0" borderId="0" xfId="1" applyFont="1">
      <alignment vertical="center"/>
    </xf>
    <xf numFmtId="0" fontId="4" fillId="0" borderId="1" xfId="1" applyFont="1" applyBorder="1">
      <alignment vertical="center"/>
    </xf>
    <xf numFmtId="0" fontId="8" fillId="0" borderId="1" xfId="1" applyFont="1" applyBorder="1" applyProtection="1">
      <alignment vertical="center"/>
      <protection locked="0"/>
    </xf>
    <xf numFmtId="0" fontId="6" fillId="0" borderId="0" xfId="1" applyFont="1">
      <alignment vertical="center"/>
    </xf>
    <xf numFmtId="0" fontId="7" fillId="0" borderId="1" xfId="1" applyFont="1" applyBorder="1" applyAlignment="1">
      <alignment horizontal="center" vertical="center"/>
    </xf>
    <xf numFmtId="0" fontId="6" fillId="0" borderId="1" xfId="1" applyFont="1" applyBorder="1">
      <alignment vertical="center"/>
    </xf>
    <xf numFmtId="0" fontId="0" fillId="0" borderId="15"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45" fontId="0" fillId="0" borderId="11" xfId="0" applyNumberFormat="1" applyBorder="1" applyAlignment="1">
      <alignment horizontal="center" vertical="center"/>
    </xf>
    <xf numFmtId="0" fontId="0" fillId="0" borderId="3" xfId="0" applyBorder="1" applyAlignment="1">
      <alignment horizontal="center" vertical="center"/>
    </xf>
    <xf numFmtId="0" fontId="0" fillId="0" borderId="14" xfId="0" applyBorder="1" applyAlignment="1">
      <alignment horizontal="center" vertical="center"/>
    </xf>
    <xf numFmtId="0" fontId="0" fillId="0" borderId="2" xfId="0" applyBorder="1" applyAlignment="1" applyProtection="1">
      <alignment horizontal="center" vertical="center"/>
      <protection hidden="1"/>
    </xf>
    <xf numFmtId="0" fontId="0" fillId="0" borderId="11" xfId="0" applyBorder="1" applyAlignment="1" applyProtection="1">
      <alignment horizontal="center" vertical="center"/>
      <protection hidden="1"/>
    </xf>
    <xf numFmtId="0" fontId="0" fillId="0" borderId="12" xfId="0" applyBorder="1" applyAlignment="1" applyProtection="1">
      <alignment horizontal="center" vertical="center"/>
      <protection hidden="1"/>
    </xf>
    <xf numFmtId="0" fontId="0" fillId="0" borderId="13" xfId="0" applyBorder="1" applyAlignment="1" applyProtection="1">
      <alignment horizontal="center" vertical="center"/>
      <protection hidden="1"/>
    </xf>
    <xf numFmtId="0" fontId="0" fillId="0" borderId="4" xfId="0"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0" fillId="0" borderId="8" xfId="0" applyBorder="1" applyAlignment="1" applyProtection="1">
      <alignment horizontal="center" vertical="center"/>
      <protection hidden="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left" vertical="center"/>
    </xf>
    <xf numFmtId="0" fontId="0" fillId="0" borderId="8" xfId="0" applyBorder="1" applyAlignment="1">
      <alignment horizontal="left" vertical="center"/>
    </xf>
    <xf numFmtId="0" fontId="0" fillId="0" borderId="4" xfId="0" applyBorder="1" applyAlignment="1">
      <alignment horizontal="left" vertical="center"/>
    </xf>
    <xf numFmtId="0" fontId="0" fillId="0" borderId="13"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8" fillId="0" borderId="1" xfId="1" applyFont="1" applyBorder="1" applyAlignment="1" applyProtection="1">
      <alignment horizontal="center" vertical="center"/>
      <protection locked="0"/>
    </xf>
    <xf numFmtId="0" fontId="5" fillId="0" borderId="1" xfId="1" applyFont="1" applyBorder="1" applyAlignment="1">
      <alignment horizontal="center" vertical="center"/>
    </xf>
    <xf numFmtId="0" fontId="6" fillId="0" borderId="1" xfId="1" applyFont="1" applyBorder="1" applyAlignment="1">
      <alignment horizontal="center" vertical="center"/>
    </xf>
    <xf numFmtId="176" fontId="10" fillId="0" borderId="1" xfId="1" applyNumberFormat="1" applyFont="1" applyBorder="1" applyAlignment="1" applyProtection="1">
      <alignment horizontal="center" vertical="center"/>
      <protection locked="0"/>
    </xf>
    <xf numFmtId="176" fontId="10" fillId="0" borderId="1" xfId="1" applyNumberFormat="1" applyFont="1" applyBorder="1" applyAlignment="1">
      <alignment horizontal="center" vertical="center"/>
    </xf>
  </cellXfs>
  <cellStyles count="2">
    <cellStyle name="標準" xfId="0" builtinId="0"/>
    <cellStyle name="標準 2" xfId="1" xr:uid="{98B0004B-BD5B-482F-BAC8-3F13A7441B4A}"/>
  </cellStyles>
  <dxfs count="24">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medium">
          <color indexed="64"/>
        </left>
        <right/>
        <top/>
        <bottom/>
        <vertical/>
        <horizontal/>
      </border>
      <protection locked="1" hidden="0"/>
    </dxf>
    <dxf>
      <numFmt numFmtId="28" formatCode="mm:ss"/>
      <alignment horizontal="center" vertical="center" textRotation="0" wrapText="0" indent="0" justifyLastLine="0" shrinkToFit="0" readingOrder="0"/>
      <border diagonalUp="0" diagonalDown="0">
        <left style="medium">
          <color indexed="64"/>
        </left>
        <right style="medium">
          <color indexed="64"/>
        </right>
        <top/>
        <bottom/>
        <vertical/>
        <horizontal/>
      </border>
      <protection locked="1" hidden="0"/>
    </dxf>
    <dxf>
      <alignment horizontal="center" vertical="center" textRotation="0" wrapText="0" indent="0" justifyLastLine="0" shrinkToFit="0" readingOrder="0"/>
      <border diagonalUp="0" diagonalDown="0">
        <left/>
        <right style="medium">
          <color indexed="64"/>
        </right>
        <top/>
        <bottom/>
        <vertical/>
        <horizontal/>
      </border>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medium">
          <color indexed="64"/>
        </left>
        <right/>
        <top/>
        <bottom/>
        <vertical/>
        <horizontal/>
      </border>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right style="medium">
          <color indexed="64"/>
        </right>
        <top/>
        <bottom/>
        <vertical/>
        <horizontal/>
      </border>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protection locked="1" hidden="0"/>
    </dxf>
    <dxf>
      <border outline="0">
        <bottom style="medium">
          <color indexed="64"/>
        </bottom>
      </border>
    </dxf>
    <dxf>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A3EBF3-1FE3-4E11-AC31-B04C9C3BB057}" name="テーブル1" displayName="テーブル1" ref="A1:T140" totalsRowShown="0" headerRowDxfId="23" dataDxfId="21" headerRowBorderDxfId="22" tableBorderDxfId="20">
  <autoFilter ref="A1:T140" xr:uid="{B3A3EBF3-1FE3-4E11-AC31-B04C9C3BB057}">
    <filterColumn colId="2">
      <filters>
        <filter val="ハッカソン２"/>
      </filters>
    </filterColumn>
  </autoFilter>
  <tableColumns count="20">
    <tableColumn id="1" xr3:uid="{87F37774-9AB9-42CB-8605-BD2305919FAA}" name="学籍番号" dataDxfId="19"/>
    <tableColumn id="2" xr3:uid="{B97F6809-9C1B-40A7-89AC-A5102CB4B901}" name="氏名" dataDxfId="18"/>
    <tableColumn id="3" xr3:uid="{E6E80B38-E3C9-4191-A1CC-75EC1FBCA230}" name="講義" dataDxfId="17"/>
    <tableColumn id="4" xr3:uid="{C5232A11-F690-4C2C-B93C-C77082B4C481}" name="チーム" dataDxfId="16"/>
    <tableColumn id="5" xr3:uid="{BDFAB91E-427F-4CCD-9106-A1592524449C}" name="参考" dataDxfId="15"/>
    <tableColumn id="6" xr3:uid="{6A6CDC4F-84F8-486D-A80A-B9EEC24F7BD5}" name="講義室" dataDxfId="14"/>
    <tableColumn id="7" xr3:uid="{08D4D381-99D0-4782-A288-DB48E791B0B7}" name="合計点" dataDxfId="13">
      <calculatedColumnFormula>SUM($P2:$T2)*$O2</calculatedColumnFormula>
    </tableColumn>
    <tableColumn id="8" xr3:uid="{B992C79E-B98C-4018-A5BB-1B48C70BECAB}" name="発表時間" dataDxfId="12">
      <calculatedColumnFormula>VLOOKUP($D2,'733講義室'!$B$2:$F$39,2,FALSE)</calculatedColumnFormula>
    </tableColumn>
    <tableColumn id="9" xr3:uid="{193E2F1C-BD16-497C-8B9E-5DFC7F5117DD}" name="プレゼン構成" dataDxfId="11">
      <calculatedColumnFormula>VLOOKUP($D2,'733講義室'!$B$2:$F$39,3,FALSE)</calculatedColumnFormula>
    </tableColumn>
    <tableColumn id="10" xr3:uid="{2E2F7FAE-ED03-45EE-B15B-50AAEEB8BD99}" name="客観性・根拠性" dataDxfId="10">
      <calculatedColumnFormula>VLOOKUP($D2,'733講義室'!$B$2:$F$39,4,FALSE)</calculatedColumnFormula>
    </tableColumn>
    <tableColumn id="11" xr3:uid="{69DA61CB-989A-42A8-99ED-21951EEE804D}" name="資料" dataDxfId="9">
      <calculatedColumnFormula>VLOOKUP($D2,'733講義室'!$B$2:$F$39,5,FALSE)</calculatedColumnFormula>
    </tableColumn>
    <tableColumn id="12" xr3:uid="{F7277EE0-7C0C-4FD8-BB13-EEACDBDD1923}" name="態度・話し方" dataDxfId="8">
      <calculatedColumnFormula>VLOOKUP($A2,'733講義室'!$G$2:$I$39,3,FALSE)</calculatedColumnFormula>
    </tableColumn>
    <tableColumn id="13" xr3:uid="{B85DA4C0-F9DA-4B82-A0C2-95EFDE5F3C19}" name="質疑応答" dataDxfId="7">
      <calculatedColumnFormula>VLOOKUP($D2,'733講義室'!$B$2:$J$39,9,FALSE)</calculatedColumnFormula>
    </tableColumn>
    <tableColumn id="14" xr3:uid="{6B03EB39-2502-436E-BFFE-DA98783EB720}" name="発表時間2" dataDxfId="6">
      <calculatedColumnFormula>TIME(0, INT($H2/100), MOD($H2,100))</calculatedColumnFormula>
    </tableColumn>
    <tableColumn id="15" xr3:uid="{2EDBEECD-896C-4709-86B9-EBB0F4C67337}" name="倍率" dataDxfId="5">
      <calculatedColumnFormula array="1">_xlfn.LET(
  _xlpm.t, TIME(0, INT($H2/100), MOD($H2,100)),
  _xlfn.IFS(
    AND(_xlpm.t&gt;=TIME(0,7,1),  _xlpm.t&lt;=TIME(0,8,19)), 1,
    AND(_xlpm.t&gt;=TIME(0,6,1),  _xlpm.t&lt;=TIME(0,7,0)),  0.8,
    AND(_xlpm.t&gt;=TIME(0,8,20), _xlpm.t&lt;=TIME(0,8,59)), 0.8,
    AND(_xlpm.t&gt;=TIME(0,5,1),  _xlpm.t&lt;=TIME(0,6,0)),  0.5,
    AND(_xlpm.t&gt;=TIME(0,9,0),  _xlpm.t&lt;=TIME(0,9,59)), 0.5,
    TRUE, 0.3
  )
)</calculatedColumnFormula>
    </tableColumn>
    <tableColumn id="16" xr3:uid="{23B080C2-7112-497F-B54E-867DD0F5633E}" name="プレゼン構成3" dataDxfId="4">
      <calculatedColumnFormula>VALUE(LEFT(I2,1))</calculatedColumnFormula>
    </tableColumn>
    <tableColumn id="17" xr3:uid="{2A3025FB-D2E9-4FE5-B0C9-4E5D27C54821}" name="客観性・根拠性4" dataDxfId="3">
      <calculatedColumnFormula>VALUE(LEFT(J2,1))</calculatedColumnFormula>
    </tableColumn>
    <tableColumn id="18" xr3:uid="{53E67D48-67C0-406D-AED9-73593F0122F0}" name="資料5" dataDxfId="2">
      <calculatedColumnFormula>VALUE(LEFT(K2,1))</calculatedColumnFormula>
    </tableColumn>
    <tableColumn id="19" xr3:uid="{70912936-52C4-4030-B817-42AC33C0DD96}" name="態度・話し方6" dataDxfId="1">
      <calculatedColumnFormula>VALUE(LEFT(L2,1))</calculatedColumnFormula>
    </tableColumn>
    <tableColumn id="20" xr3:uid="{A2A94CB6-72D7-45BD-B97F-ADF0A80884AF}" name="質疑応答7" dataDxfId="0">
      <calculatedColumnFormula>VALUE(LEFT(M2,1))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03B5-7C34-4BFB-897B-63DF3E71F07C}">
  <dimension ref="B1:M34"/>
  <sheetViews>
    <sheetView topLeftCell="A11" zoomScale="45" zoomScaleNormal="85" workbookViewId="0">
      <selection activeCell="J36" sqref="J36"/>
    </sheetView>
  </sheetViews>
  <sheetFormatPr baseColWidth="10" defaultColWidth="8.83203125" defaultRowHeight="18"/>
  <cols>
    <col min="2" max="2" width="15.1640625" customWidth="1"/>
    <col min="3" max="3" width="31.33203125" customWidth="1"/>
    <col min="4" max="4" width="17.5" customWidth="1"/>
    <col min="5" max="5" width="17.1640625" customWidth="1"/>
    <col min="6" max="6" width="15.83203125" customWidth="1"/>
    <col min="7" max="7" width="14" customWidth="1"/>
    <col min="8" max="8" width="15.5" customWidth="1"/>
    <col min="10" max="10" width="18" customWidth="1"/>
    <col min="11" max="11" width="21.6640625" customWidth="1"/>
  </cols>
  <sheetData>
    <row r="1" spans="2:13" ht="24">
      <c r="B1" s="5" t="s">
        <v>276</v>
      </c>
      <c r="C1" s="5" t="s">
        <v>295</v>
      </c>
      <c r="D1" s="5" t="s">
        <v>283</v>
      </c>
      <c r="E1" s="5" t="s">
        <v>292</v>
      </c>
      <c r="F1" s="5" t="s">
        <v>284</v>
      </c>
      <c r="G1" s="35" t="s">
        <v>285</v>
      </c>
      <c r="H1" s="35"/>
      <c r="I1" s="35"/>
      <c r="J1" s="6" t="s">
        <v>286</v>
      </c>
      <c r="K1" s="6" t="s">
        <v>287</v>
      </c>
      <c r="L1" s="4"/>
      <c r="M1" s="4"/>
    </row>
    <row r="2" spans="2:13" ht="31">
      <c r="B2" s="34">
        <f>まとめ!D2</f>
        <v>16</v>
      </c>
      <c r="C2" s="36"/>
      <c r="D2" s="33"/>
      <c r="E2" s="33"/>
      <c r="F2" s="33"/>
      <c r="G2" s="2" t="str">
        <f>まとめ!A2</f>
        <v>24G1009</v>
      </c>
      <c r="H2" s="2" t="str">
        <f>まとめ!B2</f>
        <v>井澤　晴空</v>
      </c>
      <c r="I2" s="3"/>
      <c r="J2" s="33"/>
      <c r="K2" s="3"/>
      <c r="L2" s="1"/>
    </row>
    <row r="3" spans="2:13" ht="31">
      <c r="B3" s="34"/>
      <c r="C3" s="36"/>
      <c r="D3" s="33"/>
      <c r="E3" s="33"/>
      <c r="F3" s="33"/>
      <c r="G3" s="2" t="str">
        <f>まとめ!A3</f>
        <v>24G1063</v>
      </c>
      <c r="H3" s="2" t="str">
        <f>まとめ!B3</f>
        <v>佐藤　碧唯</v>
      </c>
      <c r="I3" s="3"/>
      <c r="J3" s="33"/>
      <c r="K3" s="3"/>
      <c r="L3" s="1"/>
    </row>
    <row r="4" spans="2:13" ht="31">
      <c r="B4" s="34"/>
      <c r="C4" s="36"/>
      <c r="D4" s="33"/>
      <c r="E4" s="33"/>
      <c r="F4" s="33"/>
      <c r="G4" s="2" t="str">
        <f>まとめ!A4</f>
        <v>24G1073</v>
      </c>
      <c r="H4" s="2" t="str">
        <f>まとめ!B4</f>
        <v>清水　優花</v>
      </c>
      <c r="I4" s="3"/>
      <c r="J4" s="33"/>
      <c r="K4" s="3"/>
      <c r="L4" s="1"/>
    </row>
    <row r="5" spans="2:13" ht="29.5" customHeight="1">
      <c r="B5" s="34">
        <f>まとめ!D5</f>
        <v>34</v>
      </c>
      <c r="C5" s="36"/>
      <c r="D5" s="33"/>
      <c r="E5" s="33"/>
      <c r="F5" s="33"/>
      <c r="G5" s="2" t="str">
        <f>まとめ!A5</f>
        <v>24G1072</v>
      </c>
      <c r="H5" s="2" t="str">
        <f>まとめ!B5</f>
        <v>澁谷　祐汰</v>
      </c>
      <c r="I5" s="3"/>
      <c r="J5" s="33"/>
      <c r="K5" s="3"/>
      <c r="L5" s="1"/>
    </row>
    <row r="6" spans="2:13" ht="29.5" customHeight="1">
      <c r="B6" s="34"/>
      <c r="C6" s="36"/>
      <c r="D6" s="33"/>
      <c r="E6" s="33"/>
      <c r="F6" s="33"/>
      <c r="G6" s="2" t="str">
        <f>まとめ!A6</f>
        <v>24G1102</v>
      </c>
      <c r="H6" s="2" t="str">
        <f>まとめ!B6</f>
        <v>冨田　一之心</v>
      </c>
      <c r="I6" s="3"/>
      <c r="J6" s="33"/>
      <c r="K6" s="3"/>
      <c r="L6" s="1"/>
    </row>
    <row r="7" spans="2:13" ht="29.5" customHeight="1">
      <c r="B7" s="34"/>
      <c r="C7" s="36"/>
      <c r="D7" s="33"/>
      <c r="E7" s="33"/>
      <c r="F7" s="33"/>
      <c r="G7" s="2" t="str">
        <f>まとめ!A7</f>
        <v>24G1107</v>
      </c>
      <c r="H7" s="2" t="str">
        <f>まとめ!B7</f>
        <v>野口　滉太</v>
      </c>
      <c r="I7" s="3"/>
      <c r="J7" s="33"/>
      <c r="K7" s="3"/>
      <c r="L7" s="1"/>
      <c r="M7" s="1"/>
    </row>
    <row r="8" spans="2:13" ht="29.5" customHeight="1">
      <c r="B8" s="34">
        <f>まとめ!D8</f>
        <v>14</v>
      </c>
      <c r="C8" s="36"/>
      <c r="D8" s="33"/>
      <c r="E8" s="33"/>
      <c r="F8" s="33"/>
      <c r="G8" s="2" t="str">
        <f>まとめ!A8</f>
        <v>24G1094</v>
      </c>
      <c r="H8" s="2" t="str">
        <f>まとめ!B8</f>
        <v>斎藤　拓海</v>
      </c>
      <c r="I8" s="3"/>
      <c r="J8" s="33"/>
      <c r="K8" s="3"/>
      <c r="L8" s="1"/>
      <c r="M8" s="1"/>
    </row>
    <row r="9" spans="2:13" ht="29.5" customHeight="1">
      <c r="B9" s="34"/>
      <c r="C9" s="36"/>
      <c r="D9" s="33"/>
      <c r="E9" s="33"/>
      <c r="F9" s="33"/>
      <c r="G9" s="2" t="str">
        <f>まとめ!A9</f>
        <v>24G1115</v>
      </c>
      <c r="H9" s="2" t="str">
        <f>まとめ!B9</f>
        <v>比志　佳代</v>
      </c>
      <c r="I9" s="3"/>
      <c r="J9" s="33"/>
      <c r="K9" s="3"/>
      <c r="L9" s="1"/>
      <c r="M9" s="1"/>
    </row>
    <row r="10" spans="2:13" ht="29.5" customHeight="1">
      <c r="B10" s="34"/>
      <c r="C10" s="36"/>
      <c r="D10" s="33"/>
      <c r="E10" s="33"/>
      <c r="F10" s="33"/>
      <c r="G10" s="2" t="str">
        <f>まとめ!A10</f>
        <v>24G1126</v>
      </c>
      <c r="H10" s="2" t="str">
        <f>まとめ!B10</f>
        <v>三島　遙玖</v>
      </c>
      <c r="I10" s="3"/>
      <c r="J10" s="33"/>
      <c r="K10" s="3"/>
      <c r="L10" s="1"/>
      <c r="M10" s="1"/>
    </row>
    <row r="11" spans="2:13" ht="29.5" customHeight="1">
      <c r="B11" s="34">
        <f>まとめ!D11</f>
        <v>32</v>
      </c>
      <c r="C11" s="36"/>
      <c r="D11" s="33"/>
      <c r="E11" s="33"/>
      <c r="F11" s="33"/>
      <c r="G11" s="2" t="str">
        <f>まとめ!A11</f>
        <v>24G1035</v>
      </c>
      <c r="H11" s="2" t="str">
        <f>まとめ!B11</f>
        <v>尾添　遼太</v>
      </c>
      <c r="I11" s="3"/>
      <c r="J11" s="33"/>
      <c r="K11" s="3"/>
      <c r="L11" s="1"/>
      <c r="M11" s="1"/>
    </row>
    <row r="12" spans="2:13" ht="29.5" customHeight="1">
      <c r="B12" s="34"/>
      <c r="C12" s="36"/>
      <c r="D12" s="33"/>
      <c r="E12" s="33"/>
      <c r="F12" s="33"/>
      <c r="G12" s="2" t="str">
        <f>まとめ!A12</f>
        <v>24G1056</v>
      </c>
      <c r="H12" s="2" t="str">
        <f>まとめ!B12</f>
        <v>慶田　優</v>
      </c>
      <c r="I12" s="3"/>
      <c r="J12" s="33"/>
      <c r="K12" s="3"/>
      <c r="L12" s="1"/>
      <c r="M12" s="1"/>
    </row>
    <row r="13" spans="2:13" ht="29.5" customHeight="1">
      <c r="B13" s="34"/>
      <c r="C13" s="36"/>
      <c r="D13" s="33"/>
      <c r="E13" s="33"/>
      <c r="F13" s="33"/>
      <c r="G13" s="2" t="str">
        <f>まとめ!A13</f>
        <v>24G1101</v>
      </c>
      <c r="H13" s="2" t="str">
        <f>まとめ!B13</f>
        <v>飛田　啓斗</v>
      </c>
      <c r="I13" s="3"/>
      <c r="J13" s="33"/>
      <c r="K13" s="3"/>
      <c r="L13" s="1"/>
      <c r="M13" s="1"/>
    </row>
    <row r="14" spans="2:13" ht="29.5" customHeight="1">
      <c r="B14" s="34">
        <f>まとめ!D14</f>
        <v>25</v>
      </c>
      <c r="C14" s="36"/>
      <c r="D14" s="33"/>
      <c r="E14" s="33"/>
      <c r="F14" s="33"/>
      <c r="G14" s="2" t="str">
        <f>まとめ!A14</f>
        <v>24G1067</v>
      </c>
      <c r="H14" s="2" t="str">
        <f>まとめ!B14</f>
        <v>佐野　皓紀</v>
      </c>
      <c r="I14" s="3"/>
      <c r="J14" s="33"/>
      <c r="K14" s="3"/>
      <c r="L14" s="1"/>
      <c r="M14" s="1"/>
    </row>
    <row r="15" spans="2:13" ht="29.5" customHeight="1">
      <c r="B15" s="34"/>
      <c r="C15" s="36"/>
      <c r="D15" s="33"/>
      <c r="E15" s="33"/>
      <c r="F15" s="33"/>
      <c r="G15" s="2" t="str">
        <f>まとめ!A15</f>
        <v>24G1119</v>
      </c>
      <c r="H15" s="2" t="str">
        <f>まとめ!B15</f>
        <v>福田　人和</v>
      </c>
      <c r="I15" s="3"/>
      <c r="J15" s="33"/>
      <c r="K15" s="3"/>
      <c r="L15" s="1"/>
      <c r="M15" s="1"/>
    </row>
    <row r="16" spans="2:13" ht="29.5" customHeight="1">
      <c r="B16" s="34"/>
      <c r="C16" s="36"/>
      <c r="D16" s="33"/>
      <c r="E16" s="33"/>
      <c r="F16" s="33"/>
      <c r="G16" s="2" t="str">
        <f>まとめ!A16</f>
        <v>24G1123</v>
      </c>
      <c r="H16" s="2" t="str">
        <f>まとめ!B16</f>
        <v>真下　詩生</v>
      </c>
      <c r="I16" s="3"/>
      <c r="J16" s="33"/>
      <c r="K16" s="3"/>
      <c r="L16" s="1"/>
      <c r="M16" s="1"/>
    </row>
    <row r="17" spans="2:13" ht="29.5" customHeight="1">
      <c r="B17" s="34">
        <f>まとめ!D17</f>
        <v>24</v>
      </c>
      <c r="C17" s="36"/>
      <c r="D17" s="33"/>
      <c r="E17" s="33"/>
      <c r="F17" s="33"/>
      <c r="G17" s="2" t="str">
        <f>まとめ!A17</f>
        <v>24G1039</v>
      </c>
      <c r="H17" s="2" t="str">
        <f>まとめ!B17</f>
        <v>金海　聖人</v>
      </c>
      <c r="I17" s="3"/>
      <c r="J17" s="33"/>
      <c r="K17" s="3"/>
      <c r="L17" s="1"/>
      <c r="M17" s="1"/>
    </row>
    <row r="18" spans="2:13" ht="29.5" customHeight="1">
      <c r="B18" s="34"/>
      <c r="C18" s="36"/>
      <c r="D18" s="33"/>
      <c r="E18" s="33"/>
      <c r="F18" s="33"/>
      <c r="G18" s="2" t="str">
        <f>まとめ!A18</f>
        <v>24G1071</v>
      </c>
      <c r="H18" s="2" t="str">
        <f>まとめ!B18</f>
        <v>柴崎　悠瑞</v>
      </c>
      <c r="I18" s="3"/>
      <c r="J18" s="33"/>
      <c r="K18" s="3"/>
      <c r="L18" s="1"/>
      <c r="M18" s="1"/>
    </row>
    <row r="19" spans="2:13" ht="29.5" customHeight="1">
      <c r="B19" s="34"/>
      <c r="C19" s="36"/>
      <c r="D19" s="33"/>
      <c r="E19" s="33"/>
      <c r="F19" s="33"/>
      <c r="G19" s="2" t="str">
        <f>まとめ!A19</f>
        <v>24G1114</v>
      </c>
      <c r="H19" s="2" t="str">
        <f>まとめ!B19</f>
        <v>日暮　太志</v>
      </c>
      <c r="I19" s="3"/>
      <c r="J19" s="33"/>
      <c r="K19" s="3"/>
      <c r="L19" s="1"/>
      <c r="M19" s="1"/>
    </row>
    <row r="20" spans="2:13" ht="29.5" customHeight="1">
      <c r="B20" s="34">
        <f>まとめ!D20</f>
        <v>1</v>
      </c>
      <c r="C20" s="36"/>
      <c r="D20" s="33"/>
      <c r="E20" s="33"/>
      <c r="F20" s="33"/>
      <c r="G20" s="2" t="str">
        <f>まとめ!A20</f>
        <v>24G1041</v>
      </c>
      <c r="H20" s="2" t="str">
        <f>まとめ!B20</f>
        <v>金澤　開晴</v>
      </c>
      <c r="I20" s="3"/>
      <c r="J20" s="33"/>
      <c r="K20" s="3"/>
      <c r="L20" s="1"/>
      <c r="M20" s="1"/>
    </row>
    <row r="21" spans="2:13" ht="29.5" customHeight="1">
      <c r="B21" s="34"/>
      <c r="C21" s="36"/>
      <c r="D21" s="33"/>
      <c r="E21" s="33"/>
      <c r="F21" s="33"/>
      <c r="G21" s="2" t="str">
        <f>まとめ!A21</f>
        <v>24G1043</v>
      </c>
      <c r="H21" s="2" t="str">
        <f>まとめ!B21</f>
        <v>加茂　釉芭</v>
      </c>
      <c r="I21" s="3"/>
      <c r="J21" s="33"/>
      <c r="K21" s="3"/>
      <c r="L21" s="1"/>
      <c r="M21" s="1"/>
    </row>
    <row r="22" spans="2:13" ht="29.5" customHeight="1">
      <c r="B22" s="34"/>
      <c r="C22" s="36"/>
      <c r="D22" s="33"/>
      <c r="E22" s="33"/>
      <c r="F22" s="33"/>
      <c r="G22" s="2" t="str">
        <f>まとめ!A22</f>
        <v>24G1121</v>
      </c>
      <c r="H22" s="2" t="str">
        <f>まとめ!B22</f>
        <v>ベ　シウ</v>
      </c>
      <c r="I22" s="3"/>
      <c r="J22" s="33"/>
      <c r="K22" s="3"/>
      <c r="L22" s="1"/>
      <c r="M22" s="1"/>
    </row>
    <row r="23" spans="2:13" ht="29.5" customHeight="1">
      <c r="B23" s="34">
        <f>まとめ!D23</f>
        <v>29</v>
      </c>
      <c r="C23" s="36"/>
      <c r="D23" s="33"/>
      <c r="E23" s="33"/>
      <c r="F23" s="33"/>
      <c r="G23" s="2" t="str">
        <f>まとめ!A23</f>
        <v>24G1001</v>
      </c>
      <c r="H23" s="2" t="str">
        <f>まとめ!B23</f>
        <v>相京　航汰</v>
      </c>
      <c r="I23" s="3"/>
      <c r="J23" s="33"/>
      <c r="K23" s="3"/>
      <c r="L23" s="1"/>
      <c r="M23" s="1"/>
    </row>
    <row r="24" spans="2:13" ht="29.5" customHeight="1">
      <c r="B24" s="34"/>
      <c r="C24" s="36"/>
      <c r="D24" s="33"/>
      <c r="E24" s="33"/>
      <c r="F24" s="33"/>
      <c r="G24" s="2" t="str">
        <f>まとめ!A24</f>
        <v>24G1091</v>
      </c>
      <c r="H24" s="2" t="str">
        <f>まとめ!B24</f>
        <v>田代　壮</v>
      </c>
      <c r="I24" s="3"/>
      <c r="J24" s="33"/>
      <c r="K24" s="3"/>
      <c r="L24" s="1"/>
      <c r="M24" s="1"/>
    </row>
    <row r="25" spans="2:13" ht="29.5" customHeight="1">
      <c r="B25" s="34"/>
      <c r="C25" s="36"/>
      <c r="D25" s="33"/>
      <c r="E25" s="33"/>
      <c r="F25" s="33"/>
      <c r="G25" s="2" t="str">
        <f>まとめ!A25</f>
        <v>24G1144</v>
      </c>
      <c r="H25" s="2" t="str">
        <f>まとめ!B25</f>
        <v>渡邉　晃大</v>
      </c>
      <c r="I25" s="3"/>
      <c r="J25" s="33"/>
      <c r="K25" s="3"/>
      <c r="L25" s="1"/>
      <c r="M25" s="1"/>
    </row>
    <row r="26" spans="2:13" ht="29.5" customHeight="1">
      <c r="B26" s="34">
        <f>まとめ!D26</f>
        <v>19</v>
      </c>
      <c r="C26" s="36"/>
      <c r="D26" s="33"/>
      <c r="E26" s="33"/>
      <c r="F26" s="33"/>
      <c r="G26" s="2" t="str">
        <f>まとめ!A26</f>
        <v>24G1015</v>
      </c>
      <c r="H26" s="2" t="str">
        <f>まとめ!B26</f>
        <v>市瀬　広樹</v>
      </c>
      <c r="I26" s="3"/>
      <c r="J26" s="33"/>
      <c r="K26" s="3"/>
      <c r="L26" s="1"/>
      <c r="M26" s="1"/>
    </row>
    <row r="27" spans="2:13" ht="29.5" customHeight="1">
      <c r="B27" s="34"/>
      <c r="C27" s="36"/>
      <c r="D27" s="33"/>
      <c r="E27" s="33"/>
      <c r="F27" s="33"/>
      <c r="G27" s="2" t="str">
        <f>まとめ!A27</f>
        <v>24G1029</v>
      </c>
      <c r="H27" s="2" t="str">
        <f>まとめ!B27</f>
        <v>大嶺　壮志</v>
      </c>
      <c r="I27" s="3"/>
      <c r="J27" s="33"/>
      <c r="K27" s="3"/>
      <c r="L27" s="1"/>
      <c r="M27" s="1"/>
    </row>
    <row r="28" spans="2:13" ht="29.5" customHeight="1">
      <c r="B28" s="34"/>
      <c r="C28" s="36"/>
      <c r="D28" s="33"/>
      <c r="E28" s="33"/>
      <c r="F28" s="33"/>
      <c r="G28" s="2" t="str">
        <f>まとめ!A28</f>
        <v>24G1082</v>
      </c>
      <c r="H28" s="2" t="str">
        <f>まとめ!B28</f>
        <v>清吾　友美</v>
      </c>
      <c r="I28" s="3"/>
      <c r="J28" s="33"/>
      <c r="K28" s="3"/>
      <c r="L28" s="1"/>
      <c r="M28" s="1"/>
    </row>
    <row r="29" spans="2:13" ht="29.5" customHeight="1">
      <c r="B29" s="34">
        <f>まとめ!D29</f>
        <v>12</v>
      </c>
      <c r="C29" s="36"/>
      <c r="D29" s="33"/>
      <c r="E29" s="33"/>
      <c r="F29" s="33"/>
      <c r="G29" s="2" t="str">
        <f>まとめ!A29</f>
        <v>24G1079</v>
      </c>
      <c r="H29" s="2" t="str">
        <f>まとめ!B29</f>
        <v>鈴木　涼斗</v>
      </c>
      <c r="I29" s="3"/>
      <c r="J29" s="33"/>
      <c r="K29" s="3"/>
      <c r="L29" s="1"/>
      <c r="M29" s="1"/>
    </row>
    <row r="30" spans="2:13" ht="29.5" customHeight="1">
      <c r="B30" s="34"/>
      <c r="C30" s="36"/>
      <c r="D30" s="33"/>
      <c r="E30" s="33"/>
      <c r="F30" s="33"/>
      <c r="G30" s="2" t="str">
        <f>まとめ!A30</f>
        <v>24G1113</v>
      </c>
      <c r="H30" s="2" t="str">
        <f>まとめ!B30</f>
        <v>坂　泰河</v>
      </c>
      <c r="I30" s="3"/>
      <c r="J30" s="33"/>
      <c r="K30" s="3"/>
      <c r="L30" s="1"/>
      <c r="M30" s="1"/>
    </row>
    <row r="31" spans="2:13" ht="29.5" customHeight="1">
      <c r="B31" s="34"/>
      <c r="C31" s="36"/>
      <c r="D31" s="33"/>
      <c r="E31" s="33"/>
      <c r="F31" s="33"/>
      <c r="G31" s="2" t="str">
        <f>まとめ!A31</f>
        <v>24G1128</v>
      </c>
      <c r="H31" s="2" t="str">
        <f>まとめ!B31</f>
        <v>三原　千周</v>
      </c>
      <c r="I31" s="3"/>
      <c r="J31" s="33"/>
      <c r="K31" s="3"/>
      <c r="L31" s="1"/>
      <c r="M31" s="1"/>
    </row>
    <row r="32" spans="2:13" ht="29.5" customHeight="1">
      <c r="B32" s="34">
        <f>まとめ!D32</f>
        <v>26</v>
      </c>
      <c r="C32" s="36"/>
      <c r="D32" s="33"/>
      <c r="E32" s="33"/>
      <c r="F32" s="33"/>
      <c r="G32" s="2" t="str">
        <f>まとめ!A32</f>
        <v>24G1040</v>
      </c>
      <c r="H32" s="2" t="str">
        <f>まとめ!B32</f>
        <v>金枝　優介</v>
      </c>
      <c r="I32" s="3"/>
      <c r="J32" s="33"/>
      <c r="K32" s="3"/>
      <c r="L32" s="1"/>
      <c r="M32" s="1"/>
    </row>
    <row r="33" spans="2:13" ht="29.5" customHeight="1">
      <c r="B33" s="34"/>
      <c r="C33" s="36"/>
      <c r="D33" s="33"/>
      <c r="E33" s="33"/>
      <c r="F33" s="33"/>
      <c r="G33" s="2" t="str">
        <f>まとめ!A33</f>
        <v>24G1074</v>
      </c>
      <c r="H33" s="2" t="str">
        <f>まとめ!B33</f>
        <v>荘司　あかね</v>
      </c>
      <c r="I33" s="3"/>
      <c r="J33" s="33"/>
      <c r="K33" s="3"/>
      <c r="L33" s="1"/>
      <c r="M33" s="1"/>
    </row>
    <row r="34" spans="2:13" ht="29.5" customHeight="1">
      <c r="B34" s="34"/>
      <c r="C34" s="36"/>
      <c r="D34" s="33"/>
      <c r="E34" s="33"/>
      <c r="F34" s="33"/>
      <c r="G34" s="2" t="str">
        <f>まとめ!A34</f>
        <v>24G1125</v>
      </c>
      <c r="H34" s="2" t="str">
        <f>まとめ!B34</f>
        <v>三芝　空音</v>
      </c>
      <c r="I34" s="3"/>
      <c r="J34" s="33"/>
      <c r="K34" s="3"/>
      <c r="L34" s="1"/>
      <c r="M34" s="1"/>
    </row>
  </sheetData>
  <sheetProtection algorithmName="SHA-512" hashValue="tfzjsaxzHOJNN5FYSkEhug9AXN0P8DCzrV0Fjes6drxXLEr9el8RQVkbGTVoYtlOL065d0JTBWQMjr5esjWljg==" saltValue="mXaVyEFDbDKqCdPYucTBwA==" spinCount="100000" sheet="1" objects="1" scenarios="1"/>
  <mergeCells count="67">
    <mergeCell ref="C29:C31"/>
    <mergeCell ref="C32:C34"/>
    <mergeCell ref="C14:C16"/>
    <mergeCell ref="C17:C19"/>
    <mergeCell ref="C20:C22"/>
    <mergeCell ref="C23:C25"/>
    <mergeCell ref="C26:C28"/>
    <mergeCell ref="J26:J28"/>
    <mergeCell ref="J29:J31"/>
    <mergeCell ref="J32:J34"/>
    <mergeCell ref="J11:J13"/>
    <mergeCell ref="J14:J16"/>
    <mergeCell ref="J17:J19"/>
    <mergeCell ref="J20:J22"/>
    <mergeCell ref="J23:J25"/>
    <mergeCell ref="B11:B13"/>
    <mergeCell ref="F8:F10"/>
    <mergeCell ref="D11:D13"/>
    <mergeCell ref="E11:E13"/>
    <mergeCell ref="F11:F13"/>
    <mergeCell ref="C8:C10"/>
    <mergeCell ref="C11:C13"/>
    <mergeCell ref="B17:B19"/>
    <mergeCell ref="B20:B22"/>
    <mergeCell ref="B23:B25"/>
    <mergeCell ref="B26:B28"/>
    <mergeCell ref="B29:B31"/>
    <mergeCell ref="G1:I1"/>
    <mergeCell ref="B2:B4"/>
    <mergeCell ref="B5:B7"/>
    <mergeCell ref="B8:B10"/>
    <mergeCell ref="J2:J4"/>
    <mergeCell ref="J5:J7"/>
    <mergeCell ref="J8:J10"/>
    <mergeCell ref="C2:C4"/>
    <mergeCell ref="C5:C7"/>
    <mergeCell ref="B32:B34"/>
    <mergeCell ref="D2:D4"/>
    <mergeCell ref="E2:E4"/>
    <mergeCell ref="F2:F4"/>
    <mergeCell ref="D5:D7"/>
    <mergeCell ref="E5:E7"/>
    <mergeCell ref="F5:F7"/>
    <mergeCell ref="D8:D10"/>
    <mergeCell ref="E8:E10"/>
    <mergeCell ref="B14:B16"/>
    <mergeCell ref="D14:D16"/>
    <mergeCell ref="E14:E16"/>
    <mergeCell ref="F14:F16"/>
    <mergeCell ref="D17:D19"/>
    <mergeCell ref="E17:E19"/>
    <mergeCell ref="F17:F19"/>
    <mergeCell ref="D20:D22"/>
    <mergeCell ref="E20:E22"/>
    <mergeCell ref="F20:F22"/>
    <mergeCell ref="D23:D25"/>
    <mergeCell ref="E23:E25"/>
    <mergeCell ref="F23:F25"/>
    <mergeCell ref="D32:D34"/>
    <mergeCell ref="E32:E34"/>
    <mergeCell ref="F32:F34"/>
    <mergeCell ref="D26:D28"/>
    <mergeCell ref="E26:E28"/>
    <mergeCell ref="F26:F28"/>
    <mergeCell ref="D29:D31"/>
    <mergeCell ref="E29:E31"/>
    <mergeCell ref="F29:F31"/>
  </mergeCells>
  <phoneticPr fontId="1"/>
  <dataValidations count="1">
    <dataValidation type="whole" allowBlank="1" showInputMessage="1" showErrorMessage="1" sqref="C2:C4" xr:uid="{F889D161-611E-45BB-B8D6-951432A53E5F}">
      <formula1>0</formula1>
      <formula2>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CC8F65E-735F-48AF-80C4-8ACDC9F7F938}">
          <x14:formula1>
            <xm:f>プルダウン用隠し!$A$2:$A$5</xm:f>
          </x14:formula1>
          <xm:sqref>D2:F34 I2:J34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5243-D730-48DA-AB33-30E2D00A9960}">
  <dimension ref="B1:M34"/>
  <sheetViews>
    <sheetView zoomScale="49" workbookViewId="0">
      <selection activeCell="C2" sqref="C2:C4"/>
    </sheetView>
  </sheetViews>
  <sheetFormatPr baseColWidth="10" defaultColWidth="8.83203125" defaultRowHeight="18"/>
  <cols>
    <col min="2" max="2" width="15.1640625" customWidth="1"/>
    <col min="3" max="3" width="31.33203125" customWidth="1"/>
    <col min="4" max="4" width="17.5" customWidth="1"/>
    <col min="5" max="5" width="17.1640625" customWidth="1"/>
    <col min="6" max="6" width="15.83203125" customWidth="1"/>
    <col min="7" max="7" width="14" customWidth="1"/>
    <col min="8" max="8" width="15.5" customWidth="1"/>
    <col min="10" max="10" width="18" customWidth="1"/>
    <col min="11" max="11" width="37.5" customWidth="1"/>
  </cols>
  <sheetData>
    <row r="1" spans="2:13" ht="24">
      <c r="B1" s="5" t="s">
        <v>276</v>
      </c>
      <c r="C1" s="5" t="s">
        <v>295</v>
      </c>
      <c r="D1" s="5" t="s">
        <v>283</v>
      </c>
      <c r="E1" s="5" t="s">
        <v>292</v>
      </c>
      <c r="F1" s="5" t="s">
        <v>284</v>
      </c>
      <c r="G1" s="35" t="s">
        <v>285</v>
      </c>
      <c r="H1" s="35"/>
      <c r="I1" s="35"/>
      <c r="J1" s="6" t="s">
        <v>286</v>
      </c>
      <c r="K1" s="6" t="s">
        <v>287</v>
      </c>
      <c r="L1" s="4"/>
      <c r="M1" s="4"/>
    </row>
    <row r="2" spans="2:13" ht="31">
      <c r="B2" s="34">
        <f>まとめ!D35</f>
        <v>10</v>
      </c>
      <c r="C2" s="36"/>
      <c r="D2" s="33"/>
      <c r="E2" s="33"/>
      <c r="F2" s="33"/>
      <c r="G2" s="2" t="str">
        <f>まとめ!A35</f>
        <v>24G1012</v>
      </c>
      <c r="H2" s="2" t="str">
        <f>まとめ!B35</f>
        <v>石坂　琢磨</v>
      </c>
      <c r="I2" s="3"/>
      <c r="J2" s="33"/>
      <c r="K2" s="3"/>
      <c r="L2" s="1"/>
    </row>
    <row r="3" spans="2:13" ht="31">
      <c r="B3" s="34"/>
      <c r="C3" s="36"/>
      <c r="D3" s="33"/>
      <c r="E3" s="33"/>
      <c r="F3" s="33"/>
      <c r="G3" s="2" t="str">
        <f>まとめ!A36</f>
        <v>24G1032</v>
      </c>
      <c r="H3" s="2" t="str">
        <f>まとめ!B36</f>
        <v>荻野　泰地</v>
      </c>
      <c r="I3" s="3"/>
      <c r="J3" s="33"/>
      <c r="K3" s="3"/>
      <c r="L3" s="1"/>
    </row>
    <row r="4" spans="2:13" ht="31">
      <c r="B4" s="34"/>
      <c r="C4" s="36"/>
      <c r="D4" s="33"/>
      <c r="E4" s="33"/>
      <c r="F4" s="33"/>
      <c r="G4" s="2" t="str">
        <f>まとめ!A37</f>
        <v>24G1146</v>
      </c>
      <c r="H4" s="2" t="str">
        <f>まとめ!B37</f>
        <v>渡邉　那音</v>
      </c>
      <c r="I4" s="3"/>
      <c r="J4" s="33"/>
      <c r="K4" s="3"/>
      <c r="L4" s="1"/>
    </row>
    <row r="5" spans="2:13" ht="29.5" customHeight="1">
      <c r="B5" s="34">
        <f>まとめ!D38</f>
        <v>37</v>
      </c>
      <c r="C5" s="36"/>
      <c r="D5" s="33"/>
      <c r="E5" s="33"/>
      <c r="F5" s="33"/>
      <c r="G5" s="2" t="str">
        <f>まとめ!A38</f>
        <v>24G1002</v>
      </c>
      <c r="H5" s="2" t="str">
        <f>まとめ!B38</f>
        <v>秋葉　聖哉</v>
      </c>
      <c r="I5" s="3"/>
      <c r="J5" s="33"/>
      <c r="K5" s="3"/>
      <c r="L5" s="1"/>
    </row>
    <row r="6" spans="2:13" ht="29.5" customHeight="1">
      <c r="B6" s="34"/>
      <c r="C6" s="36"/>
      <c r="D6" s="33"/>
      <c r="E6" s="33"/>
      <c r="F6" s="33"/>
      <c r="G6" s="2" t="str">
        <f>まとめ!A39</f>
        <v>24G1109</v>
      </c>
      <c r="H6" s="2" t="str">
        <f>まとめ!B39</f>
        <v>林田　裕太朗</v>
      </c>
      <c r="I6" s="3"/>
      <c r="J6" s="33"/>
      <c r="K6" s="3"/>
      <c r="L6" s="1"/>
    </row>
    <row r="7" spans="2:13" ht="29.5" customHeight="1">
      <c r="B7" s="34"/>
      <c r="C7" s="36"/>
      <c r="D7" s="33"/>
      <c r="E7" s="33"/>
      <c r="F7" s="33"/>
      <c r="G7" s="2" t="str">
        <f>まとめ!A40</f>
        <v>24G1124</v>
      </c>
      <c r="H7" s="2" t="str">
        <f>まとめ!B40</f>
        <v>三木　俊英</v>
      </c>
      <c r="I7" s="3"/>
      <c r="J7" s="33"/>
      <c r="K7" s="3"/>
      <c r="L7" s="1"/>
      <c r="M7" s="1"/>
    </row>
    <row r="8" spans="2:13" ht="29.5" customHeight="1">
      <c r="B8" s="34">
        <f>まとめ!D41</f>
        <v>33</v>
      </c>
      <c r="C8" s="36"/>
      <c r="D8" s="33"/>
      <c r="E8" s="33"/>
      <c r="F8" s="33"/>
      <c r="G8" s="2" t="str">
        <f>まとめ!A41</f>
        <v>24G1016</v>
      </c>
      <c r="H8" s="2" t="str">
        <f>まとめ!B41</f>
        <v>伊藤　脩</v>
      </c>
      <c r="I8" s="3"/>
      <c r="J8" s="33"/>
      <c r="K8" s="3"/>
      <c r="L8" s="1"/>
      <c r="M8" s="1"/>
    </row>
    <row r="9" spans="2:13" ht="29.5" customHeight="1">
      <c r="B9" s="34"/>
      <c r="C9" s="36"/>
      <c r="D9" s="33"/>
      <c r="E9" s="33"/>
      <c r="F9" s="33"/>
      <c r="G9" s="2" t="str">
        <f>まとめ!A42</f>
        <v>24G1031</v>
      </c>
      <c r="H9" s="2" t="str">
        <f>まとめ!B42</f>
        <v>小川　泰生</v>
      </c>
      <c r="I9" s="3"/>
      <c r="J9" s="33"/>
      <c r="K9" s="3"/>
      <c r="L9" s="1"/>
      <c r="M9" s="1"/>
    </row>
    <row r="10" spans="2:13" ht="29.5" customHeight="1">
      <c r="B10" s="34"/>
      <c r="C10" s="36"/>
      <c r="D10" s="33"/>
      <c r="E10" s="33"/>
      <c r="F10" s="33"/>
      <c r="G10" s="2" t="str">
        <f>まとめ!A43</f>
        <v>24G1083</v>
      </c>
      <c r="H10" s="2" t="str">
        <f>まとめ!B43</f>
        <v>清宮　俊</v>
      </c>
      <c r="I10" s="3"/>
      <c r="J10" s="33"/>
      <c r="K10" s="3"/>
      <c r="L10" s="1"/>
      <c r="M10" s="1"/>
    </row>
    <row r="11" spans="2:13" ht="29.5" customHeight="1">
      <c r="B11" s="34">
        <f>まとめ!D44</f>
        <v>42</v>
      </c>
      <c r="C11" s="36"/>
      <c r="D11" s="33"/>
      <c r="E11" s="33"/>
      <c r="F11" s="33"/>
      <c r="G11" s="2" t="str">
        <f>まとめ!A44</f>
        <v>24G1005</v>
      </c>
      <c r="H11" s="2" t="str">
        <f>まとめ!B44</f>
        <v>淺沼　龍太</v>
      </c>
      <c r="I11" s="3"/>
      <c r="J11" s="33"/>
      <c r="K11" s="3"/>
      <c r="L11" s="1"/>
      <c r="M11" s="1"/>
    </row>
    <row r="12" spans="2:13" ht="29.5" customHeight="1">
      <c r="B12" s="34"/>
      <c r="C12" s="36"/>
      <c r="D12" s="33"/>
      <c r="E12" s="33"/>
      <c r="F12" s="33"/>
      <c r="G12" s="2" t="str">
        <f>まとめ!A45</f>
        <v>24G1078</v>
      </c>
      <c r="H12" s="2" t="str">
        <f>まとめ!B45</f>
        <v>鈴木　琉</v>
      </c>
      <c r="I12" s="3"/>
      <c r="J12" s="33"/>
      <c r="K12" s="3"/>
      <c r="L12" s="1"/>
      <c r="M12" s="1"/>
    </row>
    <row r="13" spans="2:13" ht="29.5" customHeight="1">
      <c r="B13" s="34"/>
      <c r="C13" s="36"/>
      <c r="D13" s="33"/>
      <c r="E13" s="33"/>
      <c r="F13" s="33"/>
      <c r="G13" s="2" t="str">
        <f>まとめ!A46</f>
        <v>24G1111</v>
      </c>
      <c r="H13" s="2" t="str">
        <f>まとめ!B46</f>
        <v>原　颯登</v>
      </c>
      <c r="I13" s="3"/>
      <c r="J13" s="33"/>
      <c r="K13" s="3"/>
      <c r="L13" s="1"/>
      <c r="M13" s="1"/>
    </row>
    <row r="14" spans="2:13" ht="29.5" customHeight="1">
      <c r="B14" s="34">
        <f>まとめ!D47</f>
        <v>41</v>
      </c>
      <c r="C14" s="36"/>
      <c r="D14" s="33"/>
      <c r="E14" s="33"/>
      <c r="F14" s="33"/>
      <c r="G14" s="2" t="str">
        <f>まとめ!A47</f>
        <v>24G1023</v>
      </c>
      <c r="H14" s="2" t="str">
        <f>まとめ!B47</f>
        <v>上原　拓海</v>
      </c>
      <c r="I14" s="3"/>
      <c r="J14" s="33"/>
      <c r="K14" s="3"/>
      <c r="L14" s="1"/>
      <c r="M14" s="1"/>
    </row>
    <row r="15" spans="2:13" ht="29.5" customHeight="1">
      <c r="B15" s="34"/>
      <c r="C15" s="36"/>
      <c r="D15" s="33"/>
      <c r="E15" s="33"/>
      <c r="F15" s="33"/>
      <c r="G15" s="2" t="str">
        <f>まとめ!A48</f>
        <v>24G1042</v>
      </c>
      <c r="H15" s="2" t="str">
        <f>まとめ!B48</f>
        <v>鎌田　素木</v>
      </c>
      <c r="I15" s="3"/>
      <c r="J15" s="33"/>
      <c r="K15" s="3"/>
      <c r="L15" s="1"/>
      <c r="M15" s="1"/>
    </row>
    <row r="16" spans="2:13" ht="29.5" customHeight="1">
      <c r="B16" s="34"/>
      <c r="C16" s="36"/>
      <c r="D16" s="33"/>
      <c r="E16" s="33"/>
      <c r="F16" s="33"/>
      <c r="G16" s="2" t="str">
        <f>まとめ!A49</f>
        <v>24G1100</v>
      </c>
      <c r="H16" s="2" t="str">
        <f>まとめ!B49</f>
        <v>戸田　健太</v>
      </c>
      <c r="I16" s="3"/>
      <c r="J16" s="33"/>
      <c r="K16" s="3"/>
      <c r="L16" s="1"/>
      <c r="M16" s="1"/>
    </row>
    <row r="17" spans="2:13" ht="29.5" customHeight="1">
      <c r="B17" s="34">
        <f>まとめ!D50</f>
        <v>22</v>
      </c>
      <c r="C17" s="36"/>
      <c r="D17" s="33"/>
      <c r="E17" s="33"/>
      <c r="F17" s="33"/>
      <c r="G17" s="2" t="str">
        <f>まとめ!A50</f>
        <v>24G1068</v>
      </c>
      <c r="H17" s="2" t="str">
        <f>まとめ!B50</f>
        <v>沢田　迅</v>
      </c>
      <c r="I17" s="3"/>
      <c r="J17" s="33"/>
      <c r="K17" s="3"/>
      <c r="L17" s="1"/>
      <c r="M17" s="1"/>
    </row>
    <row r="18" spans="2:13" ht="29.5" customHeight="1">
      <c r="B18" s="34"/>
      <c r="C18" s="36"/>
      <c r="D18" s="33"/>
      <c r="E18" s="33"/>
      <c r="F18" s="33"/>
      <c r="G18" s="2" t="str">
        <f>まとめ!A51</f>
        <v>24G1099</v>
      </c>
      <c r="H18" s="2" t="str">
        <f>まとめ!B51</f>
        <v>寺田　幸正</v>
      </c>
      <c r="I18" s="3"/>
      <c r="J18" s="33"/>
      <c r="K18" s="3"/>
      <c r="L18" s="1"/>
      <c r="M18" s="1"/>
    </row>
    <row r="19" spans="2:13" ht="29.5" customHeight="1">
      <c r="B19" s="34"/>
      <c r="C19" s="36"/>
      <c r="D19" s="33"/>
      <c r="E19" s="33"/>
      <c r="F19" s="33"/>
      <c r="G19" s="2" t="str">
        <f>まとめ!A52</f>
        <v>24G1142</v>
      </c>
      <c r="H19" s="2" t="str">
        <f>まとめ!B52</f>
        <v>米原　亙</v>
      </c>
      <c r="I19" s="3"/>
      <c r="J19" s="33"/>
      <c r="K19" s="3"/>
      <c r="L19" s="1"/>
      <c r="M19" s="1"/>
    </row>
    <row r="20" spans="2:13" ht="29.5" customHeight="1">
      <c r="B20" s="34">
        <f>まとめ!D53</f>
        <v>3</v>
      </c>
      <c r="C20" s="36"/>
      <c r="D20" s="33"/>
      <c r="E20" s="33"/>
      <c r="F20" s="33"/>
      <c r="G20" s="2" t="str">
        <f>まとめ!A53</f>
        <v>24G1007</v>
      </c>
      <c r="H20" s="2" t="str">
        <f>まとめ!B53</f>
        <v>網中　洲</v>
      </c>
      <c r="I20" s="3"/>
      <c r="J20" s="33"/>
      <c r="K20" s="3"/>
      <c r="L20" s="1"/>
      <c r="M20" s="1"/>
    </row>
    <row r="21" spans="2:13" ht="29.5" customHeight="1">
      <c r="B21" s="34"/>
      <c r="C21" s="36"/>
      <c r="D21" s="33"/>
      <c r="E21" s="33"/>
      <c r="F21" s="33"/>
      <c r="G21" s="2" t="str">
        <f>まとめ!A54</f>
        <v>24G1018</v>
      </c>
      <c r="H21" s="2" t="str">
        <f>まとめ!B54</f>
        <v>岩岡　悠衣花</v>
      </c>
      <c r="I21" s="3"/>
      <c r="J21" s="33"/>
      <c r="K21" s="3"/>
      <c r="L21" s="1"/>
      <c r="M21" s="1"/>
    </row>
    <row r="22" spans="2:13" ht="29.5" customHeight="1">
      <c r="B22" s="34"/>
      <c r="C22" s="36"/>
      <c r="D22" s="33"/>
      <c r="E22" s="33"/>
      <c r="F22" s="33"/>
      <c r="G22" s="2" t="str">
        <f>まとめ!A55</f>
        <v>24G1077</v>
      </c>
      <c r="H22" s="2" t="str">
        <f>まとめ!B55</f>
        <v>鈴木　希歩</v>
      </c>
      <c r="I22" s="3"/>
      <c r="J22" s="33"/>
      <c r="K22" s="3"/>
      <c r="L22" s="1"/>
      <c r="M22" s="1"/>
    </row>
    <row r="23" spans="2:13" ht="29.5" customHeight="1">
      <c r="B23" s="34">
        <f>まとめ!D56</f>
        <v>27</v>
      </c>
      <c r="C23" s="36"/>
      <c r="D23" s="33"/>
      <c r="E23" s="33"/>
      <c r="F23" s="33"/>
      <c r="G23" s="2" t="str">
        <f>まとめ!A56</f>
        <v>24G1037</v>
      </c>
      <c r="H23" s="2" t="str">
        <f>まとめ!B56</f>
        <v>小山　絢</v>
      </c>
      <c r="I23" s="3"/>
      <c r="J23" s="33"/>
      <c r="K23" s="3"/>
      <c r="L23" s="1"/>
      <c r="M23" s="1"/>
    </row>
    <row r="24" spans="2:13" ht="29.5" customHeight="1">
      <c r="B24" s="34"/>
      <c r="C24" s="36"/>
      <c r="D24" s="33"/>
      <c r="E24" s="33"/>
      <c r="F24" s="33"/>
      <c r="G24" s="2" t="str">
        <f>まとめ!A57</f>
        <v>24G1051</v>
      </c>
      <c r="H24" s="2" t="str">
        <f>まとめ!B57</f>
        <v>久峩　丈</v>
      </c>
      <c r="I24" s="3"/>
      <c r="J24" s="33"/>
      <c r="K24" s="3"/>
      <c r="L24" s="1"/>
      <c r="M24" s="1"/>
    </row>
    <row r="25" spans="2:13" ht="29.5" customHeight="1">
      <c r="B25" s="34"/>
      <c r="C25" s="36"/>
      <c r="D25" s="33"/>
      <c r="E25" s="33"/>
      <c r="F25" s="33"/>
      <c r="G25" s="2" t="str">
        <f>まとめ!A58</f>
        <v>24G1059</v>
      </c>
      <c r="H25" s="2" t="str">
        <f>まとめ!B58</f>
        <v>小松　遼翔</v>
      </c>
      <c r="I25" s="3"/>
      <c r="J25" s="33"/>
      <c r="K25" s="3"/>
      <c r="L25" s="1"/>
      <c r="M25" s="1"/>
    </row>
    <row r="26" spans="2:13" ht="29.5" customHeight="1">
      <c r="B26" s="34">
        <f>まとめ!D59</f>
        <v>31</v>
      </c>
      <c r="C26" s="36"/>
      <c r="D26" s="33"/>
      <c r="E26" s="33"/>
      <c r="F26" s="33"/>
      <c r="G26" s="2" t="str">
        <f>まとめ!A59</f>
        <v>24G1025</v>
      </c>
      <c r="H26" s="2" t="str">
        <f>まとめ!B59</f>
        <v>生方　淳裕</v>
      </c>
      <c r="I26" s="3"/>
      <c r="J26" s="33"/>
      <c r="K26" s="3"/>
      <c r="L26" s="1"/>
      <c r="M26" s="1"/>
    </row>
    <row r="27" spans="2:13" ht="29.5" customHeight="1">
      <c r="B27" s="34"/>
      <c r="C27" s="36"/>
      <c r="D27" s="33"/>
      <c r="E27" s="33"/>
      <c r="F27" s="33"/>
      <c r="G27" s="2" t="str">
        <f>まとめ!A60</f>
        <v>24G1140</v>
      </c>
      <c r="H27" s="2" t="str">
        <f>まとめ!B60</f>
        <v>吉岡　優</v>
      </c>
      <c r="I27" s="3"/>
      <c r="J27" s="33"/>
      <c r="K27" s="3"/>
      <c r="L27" s="1"/>
      <c r="M27" s="1"/>
    </row>
    <row r="28" spans="2:13" ht="29.5" customHeight="1">
      <c r="B28" s="34"/>
      <c r="C28" s="36"/>
      <c r="D28" s="33"/>
      <c r="E28" s="33"/>
      <c r="F28" s="33"/>
      <c r="G28" s="2" t="str">
        <f>まとめ!A61</f>
        <v>24G1141</v>
      </c>
      <c r="H28" s="2" t="str">
        <f>まとめ!B61</f>
        <v>米津　はるか</v>
      </c>
      <c r="I28" s="3"/>
      <c r="J28" s="33"/>
      <c r="K28" s="3"/>
      <c r="L28" s="1"/>
      <c r="M28" s="1"/>
    </row>
    <row r="29" spans="2:13" ht="29.5" customHeight="1">
      <c r="B29" s="34">
        <f>まとめ!D62</f>
        <v>7</v>
      </c>
      <c r="C29" s="36"/>
      <c r="D29" s="33"/>
      <c r="E29" s="33"/>
      <c r="F29" s="33"/>
      <c r="G29" s="2" t="str">
        <f>まとめ!A62</f>
        <v>24G1017</v>
      </c>
      <c r="H29" s="2" t="str">
        <f>まとめ!B62</f>
        <v>井上　悠</v>
      </c>
      <c r="I29" s="3"/>
      <c r="J29" s="33"/>
      <c r="K29" s="3"/>
      <c r="L29" s="1"/>
      <c r="M29" s="1"/>
    </row>
    <row r="30" spans="2:13" ht="29.5" customHeight="1">
      <c r="B30" s="34"/>
      <c r="C30" s="36"/>
      <c r="D30" s="33"/>
      <c r="E30" s="33"/>
      <c r="F30" s="33"/>
      <c r="G30" s="2" t="str">
        <f>まとめ!A63</f>
        <v>24G1022</v>
      </c>
      <c r="H30" s="2" t="str">
        <f>まとめ!B63</f>
        <v>上坂　大河</v>
      </c>
      <c r="I30" s="3"/>
      <c r="J30" s="33"/>
      <c r="K30" s="3"/>
      <c r="L30" s="1"/>
      <c r="M30" s="1"/>
    </row>
    <row r="31" spans="2:13" ht="29.5" customHeight="1">
      <c r="B31" s="34"/>
      <c r="C31" s="36"/>
      <c r="D31" s="33"/>
      <c r="E31" s="33"/>
      <c r="F31" s="33"/>
      <c r="G31" s="2" t="str">
        <f>まとめ!A64</f>
        <v>24G1096</v>
      </c>
      <c r="H31" s="2" t="str">
        <f>まとめ!B64</f>
        <v>堤　千真</v>
      </c>
      <c r="I31" s="3"/>
      <c r="J31" s="33"/>
      <c r="K31" s="3"/>
      <c r="L31" s="1"/>
      <c r="M31" s="1"/>
    </row>
    <row r="32" spans="2:13" ht="29.5" customHeight="1">
      <c r="B32" s="34">
        <f>まとめ!D65</f>
        <v>4</v>
      </c>
      <c r="C32" s="36"/>
      <c r="D32" s="33"/>
      <c r="E32" s="33"/>
      <c r="F32" s="33"/>
      <c r="G32" s="2" t="str">
        <f>まとめ!A65</f>
        <v>24G1061</v>
      </c>
      <c r="H32" s="2" t="str">
        <f>まとめ!B65</f>
        <v>酒井　睦基</v>
      </c>
      <c r="I32" s="3"/>
      <c r="J32" s="33"/>
      <c r="K32" s="3"/>
      <c r="L32" s="1"/>
      <c r="M32" s="1"/>
    </row>
    <row r="33" spans="2:13" ht="29.5" customHeight="1">
      <c r="B33" s="34"/>
      <c r="C33" s="36"/>
      <c r="D33" s="33"/>
      <c r="E33" s="33"/>
      <c r="F33" s="33"/>
      <c r="G33" s="2" t="str">
        <f>まとめ!A66</f>
        <v>24G1089</v>
      </c>
      <c r="H33" s="2" t="str">
        <f>まとめ!B66</f>
        <v>武本　龍</v>
      </c>
      <c r="I33" s="3"/>
      <c r="J33" s="33"/>
      <c r="K33" s="3"/>
      <c r="L33" s="1"/>
      <c r="M33" s="1"/>
    </row>
    <row r="34" spans="2:13" ht="29.5" customHeight="1">
      <c r="B34" s="34"/>
      <c r="C34" s="36"/>
      <c r="D34" s="33"/>
      <c r="E34" s="33"/>
      <c r="F34" s="33"/>
      <c r="G34" s="2" t="str">
        <f>まとめ!A67</f>
        <v>24G1122</v>
      </c>
      <c r="H34" s="2" t="str">
        <f>まとめ!B67</f>
        <v>細澤　悠真</v>
      </c>
      <c r="I34" s="3"/>
      <c r="J34" s="33"/>
      <c r="K34" s="3"/>
      <c r="L34" s="1"/>
      <c r="M34" s="1"/>
    </row>
  </sheetData>
  <sheetProtection algorithmName="SHA-512" hashValue="Rj7taMZK+LXVZUHK7RoDpx2aieo9yElJPeeyPcXIDM1ZaDzfPo2rrK6LapGQe56T2mg4DK9hmLUKWD/nCGm9ow==" saltValue="dHek0IMAHo2fA6c0hhGBvg==" spinCount="100000" sheet="1" objects="1" scenarios="1"/>
  <mergeCells count="67">
    <mergeCell ref="J32:J34"/>
    <mergeCell ref="B29:B31"/>
    <mergeCell ref="C29:C31"/>
    <mergeCell ref="D29:D31"/>
    <mergeCell ref="E29:E31"/>
    <mergeCell ref="F29:F31"/>
    <mergeCell ref="J29:J31"/>
    <mergeCell ref="B32:B34"/>
    <mergeCell ref="C32:C34"/>
    <mergeCell ref="D32:D34"/>
    <mergeCell ref="E32:E34"/>
    <mergeCell ref="F32:F34"/>
    <mergeCell ref="J26:J28"/>
    <mergeCell ref="B23:B25"/>
    <mergeCell ref="C23:C25"/>
    <mergeCell ref="D23:D25"/>
    <mergeCell ref="E23:E25"/>
    <mergeCell ref="F23:F25"/>
    <mergeCell ref="J23:J25"/>
    <mergeCell ref="B26:B28"/>
    <mergeCell ref="C26:C28"/>
    <mergeCell ref="D26:D28"/>
    <mergeCell ref="E26:E28"/>
    <mergeCell ref="F26:F28"/>
    <mergeCell ref="J20:J22"/>
    <mergeCell ref="B17:B19"/>
    <mergeCell ref="C17:C19"/>
    <mergeCell ref="D17:D19"/>
    <mergeCell ref="E17:E19"/>
    <mergeCell ref="F17:F19"/>
    <mergeCell ref="J17:J19"/>
    <mergeCell ref="B20:B22"/>
    <mergeCell ref="C20:C22"/>
    <mergeCell ref="D20:D22"/>
    <mergeCell ref="E20:E22"/>
    <mergeCell ref="F20:F22"/>
    <mergeCell ref="J14:J16"/>
    <mergeCell ref="B11:B13"/>
    <mergeCell ref="C11:C13"/>
    <mergeCell ref="D11:D13"/>
    <mergeCell ref="E11:E13"/>
    <mergeCell ref="F11:F13"/>
    <mergeCell ref="J11:J13"/>
    <mergeCell ref="B14:B16"/>
    <mergeCell ref="C14:C16"/>
    <mergeCell ref="D14:D16"/>
    <mergeCell ref="E14:E16"/>
    <mergeCell ref="F14:F16"/>
    <mergeCell ref="J8:J10"/>
    <mergeCell ref="J2:J4"/>
    <mergeCell ref="B5:B7"/>
    <mergeCell ref="C5:C7"/>
    <mergeCell ref="D5:D7"/>
    <mergeCell ref="E5:E7"/>
    <mergeCell ref="F5:F7"/>
    <mergeCell ref="J5:J7"/>
    <mergeCell ref="B8:B10"/>
    <mergeCell ref="C8:C10"/>
    <mergeCell ref="D8:D10"/>
    <mergeCell ref="E8:E10"/>
    <mergeCell ref="F8:F10"/>
    <mergeCell ref="G1:I1"/>
    <mergeCell ref="B2:B4"/>
    <mergeCell ref="C2:C4"/>
    <mergeCell ref="D2:D4"/>
    <mergeCell ref="E2:E4"/>
    <mergeCell ref="F2:F4"/>
  </mergeCells>
  <phoneticPr fontId="1"/>
  <dataValidations count="1">
    <dataValidation type="whole" allowBlank="1" showInputMessage="1" showErrorMessage="1" sqref="C2:C4" xr:uid="{0E19A610-2F2B-4A47-814F-71A7CF074BDD}">
      <formula1>0</formula1>
      <formula2>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BCA7B92-8958-489D-A771-92F2EE4AFE42}">
          <x14:formula1>
            <xm:f>プルダウン用隠し!$A$2:$A$5</xm:f>
          </x14:formula1>
          <xm:sqref>D2:F34 I2:J34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8E829-70F7-4251-A705-81B1F61DA5A3}">
  <dimension ref="B1:M34"/>
  <sheetViews>
    <sheetView zoomScale="64" workbookViewId="0">
      <selection activeCell="E5" sqref="E5:E7"/>
    </sheetView>
  </sheetViews>
  <sheetFormatPr baseColWidth="10" defaultColWidth="8.83203125" defaultRowHeight="18"/>
  <cols>
    <col min="2" max="2" width="15.1640625" customWidth="1"/>
    <col min="3" max="3" width="31.33203125" customWidth="1"/>
    <col min="4" max="4" width="17.5" customWidth="1"/>
    <col min="5" max="5" width="17.1640625" customWidth="1"/>
    <col min="6" max="6" width="15.83203125" customWidth="1"/>
    <col min="7" max="7" width="14" customWidth="1"/>
    <col min="8" max="8" width="15.5" customWidth="1"/>
    <col min="10" max="10" width="18" customWidth="1"/>
    <col min="11" max="11" width="21.6640625" customWidth="1"/>
  </cols>
  <sheetData>
    <row r="1" spans="2:13" ht="24">
      <c r="B1" s="5" t="s">
        <v>276</v>
      </c>
      <c r="C1" s="5" t="s">
        <v>295</v>
      </c>
      <c r="D1" s="5" t="s">
        <v>283</v>
      </c>
      <c r="E1" s="5" t="s">
        <v>292</v>
      </c>
      <c r="F1" s="5" t="s">
        <v>284</v>
      </c>
      <c r="G1" s="35" t="s">
        <v>285</v>
      </c>
      <c r="H1" s="35"/>
      <c r="I1" s="35"/>
      <c r="J1" s="6" t="s">
        <v>286</v>
      </c>
      <c r="K1" s="6" t="s">
        <v>287</v>
      </c>
      <c r="L1" s="4"/>
      <c r="M1" s="4"/>
    </row>
    <row r="2" spans="2:13" ht="31">
      <c r="B2" s="34">
        <f>まとめ!D68</f>
        <v>28</v>
      </c>
      <c r="C2" s="36"/>
      <c r="D2" s="33"/>
      <c r="E2" s="33"/>
      <c r="F2" s="33"/>
      <c r="G2" s="2" t="str">
        <f>まとめ!A68</f>
        <v>24G1105</v>
      </c>
      <c r="H2" s="2" t="str">
        <f>まとめ!B68</f>
        <v>長妻　冬威</v>
      </c>
      <c r="I2" s="3"/>
      <c r="J2" s="33"/>
      <c r="K2" s="3"/>
      <c r="L2" s="1"/>
    </row>
    <row r="3" spans="2:13" ht="31">
      <c r="B3" s="34"/>
      <c r="C3" s="36"/>
      <c r="D3" s="33"/>
      <c r="E3" s="33"/>
      <c r="F3" s="33"/>
      <c r="G3" s="2" t="str">
        <f>まとめ!A69</f>
        <v>24G1110</v>
      </c>
      <c r="H3" s="2" t="str">
        <f>まとめ!B69</f>
        <v>葉山　颯太</v>
      </c>
      <c r="I3" s="3"/>
      <c r="J3" s="33"/>
      <c r="K3" s="3"/>
      <c r="L3" s="1"/>
    </row>
    <row r="4" spans="2:13" ht="31">
      <c r="B4" s="34"/>
      <c r="C4" s="36"/>
      <c r="D4" s="33"/>
      <c r="E4" s="33"/>
      <c r="F4" s="33"/>
      <c r="G4" s="2" t="str">
        <f>まとめ!A70</f>
        <v>24G1127</v>
      </c>
      <c r="H4" s="2" t="str">
        <f>まとめ!B70</f>
        <v>水田　悠斗</v>
      </c>
      <c r="I4" s="3"/>
      <c r="J4" s="33"/>
      <c r="K4" s="3"/>
      <c r="L4" s="1"/>
    </row>
    <row r="5" spans="2:13" ht="29.5" customHeight="1">
      <c r="B5" s="34">
        <f>まとめ!D71</f>
        <v>39</v>
      </c>
      <c r="C5" s="36"/>
      <c r="D5" s="33"/>
      <c r="E5" s="33"/>
      <c r="F5" s="33"/>
      <c r="G5" s="2" t="str">
        <f>まとめ!A71</f>
        <v>24G1011</v>
      </c>
      <c r="H5" s="2" t="str">
        <f>まとめ!B71</f>
        <v>石川　敏伸</v>
      </c>
      <c r="I5" s="3"/>
      <c r="J5" s="33"/>
      <c r="K5" s="3"/>
      <c r="L5" s="1"/>
    </row>
    <row r="6" spans="2:13" ht="29.5" customHeight="1">
      <c r="B6" s="34"/>
      <c r="C6" s="36"/>
      <c r="D6" s="33"/>
      <c r="E6" s="33"/>
      <c r="F6" s="33"/>
      <c r="G6" s="2" t="str">
        <f>まとめ!A72</f>
        <v>24G1044</v>
      </c>
      <c r="H6" s="2" t="str">
        <f>まとめ!B72</f>
        <v>河井　晴仁</v>
      </c>
      <c r="I6" s="3"/>
      <c r="J6" s="33"/>
      <c r="K6" s="3"/>
      <c r="L6" s="1"/>
    </row>
    <row r="7" spans="2:13" ht="29.5" customHeight="1">
      <c r="B7" s="34"/>
      <c r="C7" s="36"/>
      <c r="D7" s="33"/>
      <c r="E7" s="33"/>
      <c r="F7" s="33"/>
      <c r="G7" s="2" t="str">
        <f>まとめ!A73</f>
        <v>24G1118</v>
      </c>
      <c r="H7" s="2" t="str">
        <f>まとめ!B73</f>
        <v>平峯　佑亮</v>
      </c>
      <c r="I7" s="3"/>
      <c r="J7" s="33"/>
      <c r="K7" s="3"/>
      <c r="L7" s="1"/>
      <c r="M7" s="1"/>
    </row>
    <row r="8" spans="2:13" ht="29.5" customHeight="1">
      <c r="B8" s="34">
        <f>まとめ!D74</f>
        <v>21</v>
      </c>
      <c r="C8" s="36"/>
      <c r="D8" s="33"/>
      <c r="E8" s="33"/>
      <c r="F8" s="33"/>
      <c r="G8" s="2" t="str">
        <f>まとめ!A74</f>
        <v>24G1013</v>
      </c>
      <c r="H8" s="2" t="str">
        <f>まとめ!B74</f>
        <v>石崎　一葉</v>
      </c>
      <c r="I8" s="3"/>
      <c r="J8" s="33"/>
      <c r="K8" s="3"/>
      <c r="L8" s="1"/>
      <c r="M8" s="1"/>
    </row>
    <row r="9" spans="2:13" ht="29.5" customHeight="1">
      <c r="B9" s="34"/>
      <c r="C9" s="36"/>
      <c r="D9" s="33"/>
      <c r="E9" s="33"/>
      <c r="F9" s="33"/>
      <c r="G9" s="2" t="str">
        <f>まとめ!A75</f>
        <v>24G1070</v>
      </c>
      <c r="H9" s="2" t="str">
        <f>まとめ!B75</f>
        <v>重冨　陽人</v>
      </c>
      <c r="I9" s="3"/>
      <c r="J9" s="33"/>
      <c r="K9" s="3"/>
      <c r="L9" s="1"/>
      <c r="M9" s="1"/>
    </row>
    <row r="10" spans="2:13" ht="29.5" customHeight="1">
      <c r="B10" s="34"/>
      <c r="C10" s="36"/>
      <c r="D10" s="33"/>
      <c r="E10" s="33"/>
      <c r="F10" s="33"/>
      <c r="G10" s="2" t="str">
        <f>まとめ!A76</f>
        <v>24G1092</v>
      </c>
      <c r="H10" s="2" t="str">
        <f>まとめ!B76</f>
        <v>田中　斗百矢</v>
      </c>
      <c r="I10" s="3"/>
      <c r="J10" s="33"/>
      <c r="K10" s="3"/>
      <c r="L10" s="1"/>
      <c r="M10" s="1"/>
    </row>
    <row r="11" spans="2:13" ht="29.5" customHeight="1">
      <c r="B11" s="34">
        <f>まとめ!D77</f>
        <v>13</v>
      </c>
      <c r="C11" s="36"/>
      <c r="D11" s="33"/>
      <c r="E11" s="33"/>
      <c r="F11" s="33"/>
      <c r="G11" s="2" t="str">
        <f>まとめ!A77</f>
        <v>24G1024</v>
      </c>
      <c r="H11" s="2" t="str">
        <f>まとめ!B77</f>
        <v>鵜澤　勇希</v>
      </c>
      <c r="I11" s="3"/>
      <c r="J11" s="33"/>
      <c r="K11" s="3"/>
      <c r="L11" s="1"/>
      <c r="M11" s="1"/>
    </row>
    <row r="12" spans="2:13" ht="29.5" customHeight="1">
      <c r="B12" s="34"/>
      <c r="C12" s="36"/>
      <c r="D12" s="33"/>
      <c r="E12" s="33"/>
      <c r="F12" s="33"/>
      <c r="G12" s="2" t="str">
        <f>まとめ!A78</f>
        <v>24G1088</v>
      </c>
      <c r="H12" s="2" t="str">
        <f>まとめ!B78</f>
        <v>武井　佑樹</v>
      </c>
      <c r="I12" s="3"/>
      <c r="J12" s="33"/>
      <c r="K12" s="3"/>
      <c r="L12" s="1"/>
      <c r="M12" s="1"/>
    </row>
    <row r="13" spans="2:13" ht="29.5" customHeight="1">
      <c r="B13" s="34"/>
      <c r="C13" s="36"/>
      <c r="D13" s="33"/>
      <c r="E13" s="33"/>
      <c r="F13" s="33"/>
      <c r="G13" s="2" t="str">
        <f>まとめ!A79</f>
        <v>24G1095</v>
      </c>
      <c r="H13" s="2" t="str">
        <f>まとめ!B79</f>
        <v>塚田　快音</v>
      </c>
      <c r="I13" s="3"/>
      <c r="J13" s="33"/>
      <c r="K13" s="3"/>
      <c r="L13" s="1"/>
      <c r="M13" s="1"/>
    </row>
    <row r="14" spans="2:13" ht="29.5" customHeight="1">
      <c r="B14" s="34">
        <f>まとめ!D80</f>
        <v>8</v>
      </c>
      <c r="C14" s="36"/>
      <c r="D14" s="33"/>
      <c r="E14" s="33"/>
      <c r="F14" s="33"/>
      <c r="G14" s="2" t="str">
        <f>まとめ!A80</f>
        <v>24G1045</v>
      </c>
      <c r="H14" s="2" t="str">
        <f>まとめ!B80</f>
        <v>川畑　吏生</v>
      </c>
      <c r="I14" s="3"/>
      <c r="J14" s="33"/>
      <c r="K14" s="3"/>
      <c r="L14" s="1"/>
      <c r="M14" s="1"/>
    </row>
    <row r="15" spans="2:13" ht="29.5" customHeight="1">
      <c r="B15" s="34"/>
      <c r="C15" s="36"/>
      <c r="D15" s="33"/>
      <c r="E15" s="33"/>
      <c r="F15" s="33"/>
      <c r="G15" s="2" t="str">
        <f>まとめ!A81</f>
        <v>24G1087</v>
      </c>
      <c r="H15" s="2" t="str">
        <f>まとめ!B81</f>
        <v>鷹觜　隼</v>
      </c>
      <c r="I15" s="3"/>
      <c r="J15" s="33"/>
      <c r="K15" s="3"/>
      <c r="L15" s="1"/>
      <c r="M15" s="1"/>
    </row>
    <row r="16" spans="2:13" ht="29.5" customHeight="1">
      <c r="B16" s="34"/>
      <c r="C16" s="36"/>
      <c r="D16" s="33"/>
      <c r="E16" s="33"/>
      <c r="F16" s="33"/>
      <c r="G16" s="2" t="str">
        <f>まとめ!A82</f>
        <v>24G1143</v>
      </c>
      <c r="H16" s="2" t="str">
        <f>まとめ!B82</f>
        <v>渡辺　一丸</v>
      </c>
      <c r="I16" s="3"/>
      <c r="J16" s="33"/>
      <c r="K16" s="3"/>
      <c r="L16" s="1"/>
      <c r="M16" s="1"/>
    </row>
    <row r="17" spans="2:13" ht="29.5" customHeight="1">
      <c r="B17" s="34">
        <f>まとめ!D83</f>
        <v>23</v>
      </c>
      <c r="C17" s="36"/>
      <c r="D17" s="33"/>
      <c r="E17" s="33"/>
      <c r="F17" s="33"/>
      <c r="G17" s="2" t="str">
        <f>まとめ!A83</f>
        <v>24G1038</v>
      </c>
      <c r="H17" s="2" t="str">
        <f>まとめ!B83</f>
        <v>片岡　聖</v>
      </c>
      <c r="I17" s="3"/>
      <c r="J17" s="33"/>
      <c r="K17" s="3"/>
      <c r="L17" s="1"/>
      <c r="M17" s="1"/>
    </row>
    <row r="18" spans="2:13" ht="29.5" customHeight="1">
      <c r="B18" s="34"/>
      <c r="C18" s="36"/>
      <c r="D18" s="33"/>
      <c r="E18" s="33"/>
      <c r="F18" s="33"/>
      <c r="G18" s="2" t="str">
        <f>まとめ!A84</f>
        <v>24G1075</v>
      </c>
      <c r="H18" s="2" t="str">
        <f>まとめ!B84</f>
        <v>地曵　賢人</v>
      </c>
      <c r="I18" s="3"/>
      <c r="J18" s="33"/>
      <c r="K18" s="3"/>
      <c r="L18" s="1"/>
      <c r="M18" s="1"/>
    </row>
    <row r="19" spans="2:13" ht="29.5" customHeight="1">
      <c r="B19" s="34"/>
      <c r="C19" s="36"/>
      <c r="D19" s="33"/>
      <c r="E19" s="33"/>
      <c r="F19" s="33"/>
      <c r="G19" s="2" t="str">
        <f>まとめ!A85</f>
        <v>24G1131</v>
      </c>
      <c r="H19" s="2" t="str">
        <f>まとめ!B85</f>
        <v>御代川　稜</v>
      </c>
      <c r="I19" s="3"/>
      <c r="J19" s="33"/>
      <c r="K19" s="3"/>
      <c r="L19" s="1"/>
      <c r="M19" s="1"/>
    </row>
    <row r="20" spans="2:13" ht="29.5" customHeight="1">
      <c r="B20" s="34">
        <f>まとめ!D86</f>
        <v>30</v>
      </c>
      <c r="C20" s="36"/>
      <c r="D20" s="33"/>
      <c r="E20" s="33"/>
      <c r="F20" s="33"/>
      <c r="G20" s="2" t="str">
        <f>まとめ!A86</f>
        <v>24G1033</v>
      </c>
      <c r="H20" s="2" t="str">
        <f>まとめ!B86</f>
        <v>荻野　真矢</v>
      </c>
      <c r="I20" s="3"/>
      <c r="J20" s="33"/>
      <c r="K20" s="3"/>
      <c r="L20" s="1"/>
      <c r="M20" s="1"/>
    </row>
    <row r="21" spans="2:13" ht="29.5" customHeight="1">
      <c r="B21" s="34"/>
      <c r="C21" s="36"/>
      <c r="D21" s="33"/>
      <c r="E21" s="33"/>
      <c r="F21" s="33"/>
      <c r="G21" s="2" t="str">
        <f>まとめ!A87</f>
        <v>24G1034</v>
      </c>
      <c r="H21" s="2" t="str">
        <f>まとめ!B87</f>
        <v>小口　悠翔</v>
      </c>
      <c r="I21" s="3"/>
      <c r="J21" s="33"/>
      <c r="K21" s="3"/>
      <c r="L21" s="1"/>
      <c r="M21" s="1"/>
    </row>
    <row r="22" spans="2:13" ht="29.5" customHeight="1">
      <c r="B22" s="34"/>
      <c r="C22" s="36"/>
      <c r="D22" s="33"/>
      <c r="E22" s="33"/>
      <c r="F22" s="33"/>
      <c r="G22" s="2" t="str">
        <f>まとめ!A88</f>
        <v>24G1060</v>
      </c>
      <c r="H22" s="2" t="str">
        <f>まとめ!B88</f>
        <v>齊藤　銀二</v>
      </c>
      <c r="I22" s="3"/>
      <c r="J22" s="33"/>
      <c r="K22" s="3"/>
      <c r="L22" s="1"/>
      <c r="M22" s="1"/>
    </row>
    <row r="23" spans="2:13" ht="29.5" customHeight="1">
      <c r="B23" s="34">
        <f>まとめ!D89</f>
        <v>35</v>
      </c>
      <c r="C23" s="36"/>
      <c r="D23" s="33"/>
      <c r="E23" s="33"/>
      <c r="F23" s="33"/>
      <c r="G23" s="2" t="str">
        <f>まとめ!A89</f>
        <v>24G1008</v>
      </c>
      <c r="H23" s="2" t="str">
        <f>まとめ!B89</f>
        <v>飯田　雄之介</v>
      </c>
      <c r="I23" s="3"/>
      <c r="J23" s="33"/>
      <c r="K23" s="3"/>
      <c r="L23" s="1"/>
      <c r="M23" s="1"/>
    </row>
    <row r="24" spans="2:13" ht="29.5" customHeight="1">
      <c r="B24" s="34"/>
      <c r="C24" s="36"/>
      <c r="D24" s="33"/>
      <c r="E24" s="33"/>
      <c r="F24" s="33"/>
      <c r="G24" s="2" t="str">
        <f>まとめ!A90</f>
        <v>24G1030</v>
      </c>
      <c r="H24" s="2" t="str">
        <f>まとめ!B90</f>
        <v>大室　信明</v>
      </c>
      <c r="I24" s="3"/>
      <c r="J24" s="33"/>
      <c r="K24" s="3"/>
      <c r="L24" s="1"/>
      <c r="M24" s="1"/>
    </row>
    <row r="25" spans="2:13" ht="29.5" customHeight="1">
      <c r="B25" s="34"/>
      <c r="C25" s="36"/>
      <c r="D25" s="33"/>
      <c r="E25" s="33"/>
      <c r="F25" s="33"/>
      <c r="G25" s="2" t="str">
        <f>まとめ!A91</f>
        <v>24G1097</v>
      </c>
      <c r="H25" s="2" t="str">
        <f>まとめ!B91</f>
        <v>坪井　龍之介</v>
      </c>
      <c r="I25" s="3"/>
      <c r="J25" s="33"/>
      <c r="K25" s="3"/>
      <c r="L25" s="1"/>
      <c r="M25" s="1"/>
    </row>
    <row r="26" spans="2:13" ht="29.5" customHeight="1">
      <c r="B26" s="34">
        <f>まとめ!D92</f>
        <v>6</v>
      </c>
      <c r="C26" s="36"/>
      <c r="D26" s="33"/>
      <c r="E26" s="33"/>
      <c r="F26" s="33"/>
      <c r="G26" s="2" t="str">
        <f>まとめ!A92</f>
        <v>24G1019</v>
      </c>
      <c r="H26" s="2" t="str">
        <f>まとめ!B92</f>
        <v>岩永　幹</v>
      </c>
      <c r="I26" s="3"/>
      <c r="J26" s="33"/>
      <c r="K26" s="3"/>
      <c r="L26" s="1"/>
      <c r="M26" s="1"/>
    </row>
    <row r="27" spans="2:13" ht="29.5" customHeight="1">
      <c r="B27" s="34"/>
      <c r="C27" s="36"/>
      <c r="D27" s="33"/>
      <c r="E27" s="33"/>
      <c r="F27" s="33"/>
      <c r="G27" s="2" t="str">
        <f>まとめ!A93</f>
        <v>24G1086</v>
      </c>
      <c r="H27" s="2" t="str">
        <f>まとめ!B93</f>
        <v>楚山　聖七</v>
      </c>
      <c r="I27" s="3"/>
      <c r="J27" s="33"/>
      <c r="K27" s="3"/>
      <c r="L27" s="1"/>
      <c r="M27" s="1"/>
    </row>
    <row r="28" spans="2:13" ht="29.5" customHeight="1">
      <c r="B28" s="34"/>
      <c r="C28" s="36"/>
      <c r="D28" s="33"/>
      <c r="E28" s="33"/>
      <c r="F28" s="33"/>
      <c r="G28" s="2" t="str">
        <f>まとめ!A94</f>
        <v>24G1116</v>
      </c>
      <c r="H28" s="2" t="str">
        <f>まとめ!B94</f>
        <v>平岡　祐典</v>
      </c>
      <c r="I28" s="3"/>
      <c r="J28" s="33"/>
      <c r="K28" s="3"/>
      <c r="L28" s="1"/>
      <c r="M28" s="1"/>
    </row>
    <row r="29" spans="2:13" ht="29.5" customHeight="1">
      <c r="B29" s="34">
        <f>まとめ!D95</f>
        <v>11</v>
      </c>
      <c r="C29" s="36"/>
      <c r="D29" s="33"/>
      <c r="E29" s="33"/>
      <c r="F29" s="33"/>
      <c r="G29" s="2" t="str">
        <f>まとめ!A95</f>
        <v>24G1004</v>
      </c>
      <c r="H29" s="2" t="str">
        <f>まとめ!B95</f>
        <v>浅田　和奏</v>
      </c>
      <c r="I29" s="3"/>
      <c r="J29" s="33"/>
      <c r="K29" s="3"/>
      <c r="L29" s="1"/>
      <c r="M29" s="1"/>
    </row>
    <row r="30" spans="2:13" ht="29.5" customHeight="1">
      <c r="B30" s="34"/>
      <c r="C30" s="36"/>
      <c r="D30" s="33"/>
      <c r="E30" s="33"/>
      <c r="F30" s="33"/>
      <c r="G30" s="2" t="str">
        <f>まとめ!A96</f>
        <v>24G1085</v>
      </c>
      <c r="H30" s="2" t="str">
        <f>まとめ!B96</f>
        <v>瀬部　直人</v>
      </c>
      <c r="I30" s="3"/>
      <c r="J30" s="33"/>
      <c r="K30" s="3"/>
      <c r="L30" s="1"/>
      <c r="M30" s="1"/>
    </row>
    <row r="31" spans="2:13" ht="29.5" customHeight="1">
      <c r="B31" s="34"/>
      <c r="C31" s="36"/>
      <c r="D31" s="33"/>
      <c r="E31" s="33"/>
      <c r="F31" s="33"/>
      <c r="G31" s="2" t="str">
        <f>まとめ!A97</f>
        <v>24G1090</v>
      </c>
      <c r="H31" s="2" t="str">
        <f>まとめ!B97</f>
        <v>田子　隼斗</v>
      </c>
      <c r="I31" s="3"/>
      <c r="J31" s="33"/>
      <c r="K31" s="3"/>
      <c r="L31" s="1"/>
      <c r="M31" s="1"/>
    </row>
    <row r="32" spans="2:13" ht="29.5" customHeight="1">
      <c r="B32" s="34">
        <f>まとめ!D98</f>
        <v>17</v>
      </c>
      <c r="C32" s="36"/>
      <c r="D32" s="33"/>
      <c r="E32" s="33"/>
      <c r="F32" s="33"/>
      <c r="G32" s="2" t="str">
        <f>まとめ!A98</f>
        <v>24G1020</v>
      </c>
      <c r="H32" s="2" t="str">
        <f>まとめ!B98</f>
        <v>岩波　晃士</v>
      </c>
      <c r="I32" s="3"/>
      <c r="J32" s="33"/>
      <c r="K32" s="3"/>
      <c r="L32" s="1"/>
      <c r="M32" s="1"/>
    </row>
    <row r="33" spans="2:13" ht="29.5" customHeight="1">
      <c r="B33" s="34"/>
      <c r="C33" s="36"/>
      <c r="D33" s="33"/>
      <c r="E33" s="33"/>
      <c r="F33" s="33"/>
      <c r="G33" s="2" t="str">
        <f>まとめ!A99</f>
        <v>24G1080</v>
      </c>
      <c r="H33" s="2" t="str">
        <f>まとめ!B99</f>
        <v>須磨　奏斗</v>
      </c>
      <c r="I33" s="3"/>
      <c r="J33" s="33"/>
      <c r="K33" s="3"/>
      <c r="L33" s="1"/>
      <c r="M33" s="1"/>
    </row>
    <row r="34" spans="2:13" ht="29.5" customHeight="1">
      <c r="B34" s="34"/>
      <c r="C34" s="36"/>
      <c r="D34" s="33"/>
      <c r="E34" s="33"/>
      <c r="F34" s="33"/>
      <c r="G34" s="2" t="str">
        <f>まとめ!A100</f>
        <v>24G1084</v>
      </c>
      <c r="H34" s="2" t="str">
        <f>まとめ!B100</f>
        <v>関屋　咲希</v>
      </c>
      <c r="I34" s="3"/>
      <c r="J34" s="33"/>
      <c r="K34" s="3"/>
      <c r="L34" s="1"/>
      <c r="M34" s="1"/>
    </row>
  </sheetData>
  <sheetProtection algorithmName="SHA-512" hashValue="2/MQEzzLRH5iE73nvfJM8YwWLHL2LZhQ8rxvjRi+yJBl+Y8TBTTAxuKZ6vzdnqtUE80dKrNpgG+TI+0SGb5pEw==" saltValue="YfoEA4VdpOE3h8gP3NKvtA==" spinCount="100000" sheet="1" objects="1" scenarios="1"/>
  <mergeCells count="67">
    <mergeCell ref="J32:J34"/>
    <mergeCell ref="B29:B31"/>
    <mergeCell ref="C29:C31"/>
    <mergeCell ref="D29:D31"/>
    <mergeCell ref="E29:E31"/>
    <mergeCell ref="F29:F31"/>
    <mergeCell ref="J29:J31"/>
    <mergeCell ref="B32:B34"/>
    <mergeCell ref="C32:C34"/>
    <mergeCell ref="D32:D34"/>
    <mergeCell ref="E32:E34"/>
    <mergeCell ref="F32:F34"/>
    <mergeCell ref="J26:J28"/>
    <mergeCell ref="B23:B25"/>
    <mergeCell ref="C23:C25"/>
    <mergeCell ref="D23:D25"/>
    <mergeCell ref="E23:E25"/>
    <mergeCell ref="F23:F25"/>
    <mergeCell ref="J23:J25"/>
    <mergeCell ref="B26:B28"/>
    <mergeCell ref="C26:C28"/>
    <mergeCell ref="D26:D28"/>
    <mergeCell ref="E26:E28"/>
    <mergeCell ref="F26:F28"/>
    <mergeCell ref="J20:J22"/>
    <mergeCell ref="B17:B19"/>
    <mergeCell ref="C17:C19"/>
    <mergeCell ref="D17:D19"/>
    <mergeCell ref="E17:E19"/>
    <mergeCell ref="F17:F19"/>
    <mergeCell ref="J17:J19"/>
    <mergeCell ref="B20:B22"/>
    <mergeCell ref="C20:C22"/>
    <mergeCell ref="D20:D22"/>
    <mergeCell ref="E20:E22"/>
    <mergeCell ref="F20:F22"/>
    <mergeCell ref="J14:J16"/>
    <mergeCell ref="B11:B13"/>
    <mergeCell ref="C11:C13"/>
    <mergeCell ref="D11:D13"/>
    <mergeCell ref="E11:E13"/>
    <mergeCell ref="F11:F13"/>
    <mergeCell ref="J11:J13"/>
    <mergeCell ref="B14:B16"/>
    <mergeCell ref="C14:C16"/>
    <mergeCell ref="D14:D16"/>
    <mergeCell ref="E14:E16"/>
    <mergeCell ref="F14:F16"/>
    <mergeCell ref="J8:J10"/>
    <mergeCell ref="J2:J4"/>
    <mergeCell ref="B5:B7"/>
    <mergeCell ref="C5:C7"/>
    <mergeCell ref="D5:D7"/>
    <mergeCell ref="E5:E7"/>
    <mergeCell ref="F5:F7"/>
    <mergeCell ref="J5:J7"/>
    <mergeCell ref="B8:B10"/>
    <mergeCell ref="C8:C10"/>
    <mergeCell ref="D8:D10"/>
    <mergeCell ref="E8:E10"/>
    <mergeCell ref="F8:F10"/>
    <mergeCell ref="G1:I1"/>
    <mergeCell ref="B2:B4"/>
    <mergeCell ref="C2:C4"/>
    <mergeCell ref="D2:D4"/>
    <mergeCell ref="E2:E4"/>
    <mergeCell ref="F2:F4"/>
  </mergeCells>
  <phoneticPr fontId="1"/>
  <dataValidations count="1">
    <dataValidation type="whole" allowBlank="1" showInputMessage="1" showErrorMessage="1" sqref="C2:C4" xr:uid="{FCE49F32-1688-41F3-9800-DCEFE2916369}">
      <formula1>0</formula1>
      <formula2>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9F91496-7BF0-41B5-B914-4D8C7FAD84EB}">
          <x14:formula1>
            <xm:f>プルダウン用隠し!$A$2:$A$5</xm:f>
          </x14:formula1>
          <xm:sqref>D2:F34 I2:J34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80CF4-4A86-463B-92A7-A05E873DD1A9}">
  <dimension ref="B1:M39"/>
  <sheetViews>
    <sheetView tabSelected="1" topLeftCell="A5" zoomScale="66" workbookViewId="0">
      <selection activeCell="P31" sqref="P31"/>
    </sheetView>
  </sheetViews>
  <sheetFormatPr baseColWidth="10" defaultColWidth="8.83203125" defaultRowHeight="18"/>
  <cols>
    <col min="2" max="2" width="15.1640625" customWidth="1"/>
    <col min="3" max="3" width="31.33203125" customWidth="1"/>
    <col min="4" max="4" width="17.5" customWidth="1"/>
    <col min="5" max="5" width="17.1640625" customWidth="1"/>
    <col min="6" max="6" width="15.83203125" customWidth="1"/>
    <col min="7" max="7" width="14" customWidth="1"/>
    <col min="8" max="8" width="15.5" customWidth="1"/>
    <col min="10" max="10" width="18" customWidth="1"/>
    <col min="11" max="11" width="21.6640625" customWidth="1"/>
  </cols>
  <sheetData>
    <row r="1" spans="2:13" ht="24">
      <c r="B1" s="5" t="s">
        <v>276</v>
      </c>
      <c r="C1" s="5" t="s">
        <v>295</v>
      </c>
      <c r="D1" s="5" t="s">
        <v>283</v>
      </c>
      <c r="E1" s="5" t="s">
        <v>292</v>
      </c>
      <c r="F1" s="5" t="s">
        <v>284</v>
      </c>
      <c r="G1" s="35" t="s">
        <v>285</v>
      </c>
      <c r="H1" s="35"/>
      <c r="I1" s="35"/>
      <c r="J1" s="6" t="s">
        <v>286</v>
      </c>
      <c r="K1" s="6" t="s">
        <v>287</v>
      </c>
      <c r="L1" s="4"/>
      <c r="M1" s="4"/>
    </row>
    <row r="2" spans="2:13" ht="31">
      <c r="B2" s="34">
        <f>まとめ!D114</f>
        <v>2</v>
      </c>
      <c r="C2" s="37"/>
      <c r="D2" s="33"/>
      <c r="E2" s="33"/>
      <c r="F2" s="33"/>
      <c r="G2" s="2" t="str">
        <f>まとめ!A114</f>
        <v>24G1046</v>
      </c>
      <c r="H2" s="2" t="str">
        <f>まとめ!B114</f>
        <v>川又　快斗</v>
      </c>
      <c r="I2" s="3"/>
      <c r="J2" s="33"/>
      <c r="K2" s="3"/>
      <c r="L2" s="1"/>
    </row>
    <row r="3" spans="2:13" ht="31">
      <c r="B3" s="34"/>
      <c r="C3" s="37"/>
      <c r="D3" s="33"/>
      <c r="E3" s="33"/>
      <c r="F3" s="33"/>
      <c r="G3" s="2" t="str">
        <f>まとめ!A115</f>
        <v>24G1053</v>
      </c>
      <c r="H3" s="2" t="str">
        <f>まとめ!B115</f>
        <v>熊本　朱純</v>
      </c>
      <c r="I3" s="3"/>
      <c r="J3" s="33"/>
      <c r="K3" s="3"/>
      <c r="L3" s="1"/>
    </row>
    <row r="4" spans="2:13" ht="31">
      <c r="B4" s="34"/>
      <c r="C4" s="37"/>
      <c r="D4" s="33"/>
      <c r="E4" s="33"/>
      <c r="F4" s="33"/>
      <c r="G4" s="2" t="str">
        <f>まとめ!A116</f>
        <v>24G1133</v>
      </c>
      <c r="H4" s="2" t="str">
        <f>まとめ!B116</f>
        <v>安尾　晃貴</v>
      </c>
      <c r="I4" s="3"/>
      <c r="J4" s="33"/>
      <c r="K4" s="3"/>
      <c r="L4" s="1"/>
    </row>
    <row r="5" spans="2:13" ht="29.5" customHeight="1">
      <c r="B5" s="34">
        <f>まとめ!D117</f>
        <v>38</v>
      </c>
      <c r="C5" s="37"/>
      <c r="D5" s="33"/>
      <c r="E5" s="33"/>
      <c r="F5" s="33"/>
      <c r="G5" s="2" t="str">
        <f>まとめ!A117</f>
        <v>24G1028</v>
      </c>
      <c r="H5" s="2" t="str">
        <f>まとめ!B117</f>
        <v>大關　宗一郎</v>
      </c>
      <c r="I5" s="3"/>
      <c r="J5" s="33"/>
      <c r="K5" s="3"/>
      <c r="L5" s="1"/>
    </row>
    <row r="6" spans="2:13" ht="29.5" customHeight="1">
      <c r="B6" s="34"/>
      <c r="C6" s="37"/>
      <c r="D6" s="33"/>
      <c r="E6" s="33"/>
      <c r="F6" s="33"/>
      <c r="G6" s="2" t="str">
        <f>まとめ!A118</f>
        <v>24G1050</v>
      </c>
      <c r="H6" s="2" t="str">
        <f>まとめ!B118</f>
        <v>木村　優斗</v>
      </c>
      <c r="I6" s="3"/>
      <c r="J6" s="33"/>
      <c r="K6" s="3"/>
      <c r="L6" s="1"/>
    </row>
    <row r="7" spans="2:13" ht="29.5" customHeight="1">
      <c r="B7" s="34"/>
      <c r="C7" s="37"/>
      <c r="D7" s="33"/>
      <c r="E7" s="33"/>
      <c r="F7" s="33"/>
      <c r="G7" s="2" t="str">
        <f>まとめ!A119</f>
        <v>24G1108</v>
      </c>
      <c r="H7" s="2" t="str">
        <f>まとめ!B119</f>
        <v>長谷川　空</v>
      </c>
      <c r="I7" s="3"/>
      <c r="J7" s="33"/>
      <c r="K7" s="3"/>
      <c r="L7" s="1"/>
      <c r="M7" s="1"/>
    </row>
    <row r="8" spans="2:13" ht="29.5" customHeight="1">
      <c r="B8" s="34">
        <f>まとめ!D120</f>
        <v>9</v>
      </c>
      <c r="C8" s="37"/>
      <c r="D8" s="33"/>
      <c r="E8" s="33"/>
      <c r="F8" s="33"/>
      <c r="G8" s="2" t="str">
        <f>まとめ!A120</f>
        <v>24G1052</v>
      </c>
      <c r="H8" s="2" t="str">
        <f>まとめ!B120</f>
        <v>久家　力孔</v>
      </c>
      <c r="I8" s="3"/>
      <c r="J8" s="33"/>
      <c r="K8" s="3"/>
      <c r="L8" s="1"/>
      <c r="M8" s="1"/>
    </row>
    <row r="9" spans="2:13" ht="29.5" customHeight="1">
      <c r="B9" s="34"/>
      <c r="C9" s="37"/>
      <c r="D9" s="33"/>
      <c r="E9" s="33"/>
      <c r="F9" s="33"/>
      <c r="G9" s="2" t="str">
        <f>まとめ!A121</f>
        <v>24G1098</v>
      </c>
      <c r="H9" s="2" t="str">
        <f>まとめ!B121</f>
        <v>手代木　巧</v>
      </c>
      <c r="I9" s="3"/>
      <c r="J9" s="33"/>
      <c r="K9" s="3"/>
      <c r="L9" s="1"/>
      <c r="M9" s="1"/>
    </row>
    <row r="10" spans="2:13" ht="29.5" customHeight="1">
      <c r="B10" s="34"/>
      <c r="C10" s="37"/>
      <c r="D10" s="33"/>
      <c r="E10" s="33"/>
      <c r="F10" s="33"/>
      <c r="G10" s="2" t="str">
        <f>まとめ!A122</f>
        <v>24G1145</v>
      </c>
      <c r="H10" s="2" t="str">
        <f>まとめ!B122</f>
        <v>渡邊　乃斗</v>
      </c>
      <c r="I10" s="3"/>
      <c r="J10" s="33"/>
      <c r="K10" s="3"/>
      <c r="L10" s="1"/>
      <c r="M10" s="1"/>
    </row>
    <row r="11" spans="2:13" ht="29.5" customHeight="1">
      <c r="B11" s="34">
        <f>まとめ!D123</f>
        <v>18</v>
      </c>
      <c r="C11" s="37"/>
      <c r="D11" s="33"/>
      <c r="E11" s="33"/>
      <c r="F11" s="33"/>
      <c r="G11" s="2" t="str">
        <f>まとめ!A123</f>
        <v>24G1064</v>
      </c>
      <c r="H11" s="2" t="str">
        <f>まとめ!B123</f>
        <v>佐藤　陽空</v>
      </c>
      <c r="I11" s="3"/>
      <c r="J11" s="33"/>
      <c r="K11" s="3"/>
      <c r="L11" s="1"/>
      <c r="M11" s="1"/>
    </row>
    <row r="12" spans="2:13" ht="29.5" customHeight="1">
      <c r="B12" s="34"/>
      <c r="C12" s="37"/>
      <c r="D12" s="33"/>
      <c r="E12" s="33"/>
      <c r="F12" s="33"/>
      <c r="G12" s="2" t="str">
        <f>まとめ!A124</f>
        <v>24G1076</v>
      </c>
      <c r="H12" s="2" t="str">
        <f>まとめ!B124</f>
        <v>末松　勇輝</v>
      </c>
      <c r="I12" s="3"/>
      <c r="J12" s="33"/>
      <c r="K12" s="3"/>
      <c r="L12" s="1"/>
      <c r="M12" s="1"/>
    </row>
    <row r="13" spans="2:13" ht="29.5" customHeight="1">
      <c r="B13" s="34"/>
      <c r="C13" s="37"/>
      <c r="D13" s="33"/>
      <c r="E13" s="33"/>
      <c r="F13" s="33"/>
      <c r="G13" s="2" t="str">
        <f>まとめ!A125</f>
        <v>24G1138</v>
      </c>
      <c r="H13" s="2" t="str">
        <f>まとめ!B125</f>
        <v>山下　輝明</v>
      </c>
      <c r="I13" s="3"/>
      <c r="J13" s="33"/>
      <c r="K13" s="3"/>
      <c r="L13" s="1"/>
      <c r="M13" s="1"/>
    </row>
    <row r="14" spans="2:13" ht="29.5" customHeight="1">
      <c r="B14" s="34">
        <f>まとめ!D126</f>
        <v>20</v>
      </c>
      <c r="C14" s="37"/>
      <c r="D14" s="33"/>
      <c r="E14" s="33"/>
      <c r="F14" s="33"/>
      <c r="G14" s="2" t="str">
        <f>まとめ!A126</f>
        <v>24G1106</v>
      </c>
      <c r="H14" s="2" t="str">
        <f>まとめ!B126</f>
        <v>根本　愛莉咲</v>
      </c>
      <c r="I14" s="3"/>
      <c r="J14" s="33"/>
      <c r="K14" s="3"/>
      <c r="L14" s="1"/>
      <c r="M14" s="1"/>
    </row>
    <row r="15" spans="2:13" ht="29.5" customHeight="1">
      <c r="B15" s="34"/>
      <c r="C15" s="37"/>
      <c r="D15" s="33"/>
      <c r="E15" s="33"/>
      <c r="F15" s="33"/>
      <c r="G15" s="2" t="str">
        <f>まとめ!A127</f>
        <v>24G1117</v>
      </c>
      <c r="H15" s="2" t="str">
        <f>まとめ!B127</f>
        <v>平川　ケン</v>
      </c>
      <c r="I15" s="3"/>
      <c r="J15" s="33"/>
      <c r="K15" s="3"/>
      <c r="L15" s="1"/>
      <c r="M15" s="1"/>
    </row>
    <row r="16" spans="2:13" ht="29.5" customHeight="1">
      <c r="B16" s="34"/>
      <c r="C16" s="37"/>
      <c r="D16" s="33"/>
      <c r="E16" s="33"/>
      <c r="F16" s="33"/>
      <c r="G16" s="2" t="str">
        <f>まとめ!A128</f>
        <v>24G1130</v>
      </c>
      <c r="H16" s="2" t="str">
        <f>まとめ!B128</f>
        <v>宮崎　良真</v>
      </c>
      <c r="I16" s="3"/>
      <c r="J16" s="33"/>
      <c r="K16" s="3"/>
      <c r="L16" s="1"/>
      <c r="M16" s="1"/>
    </row>
    <row r="17" spans="2:13" ht="29.5" customHeight="1">
      <c r="B17" s="34">
        <f>まとめ!D129</f>
        <v>5</v>
      </c>
      <c r="C17" s="37"/>
      <c r="D17" s="33"/>
      <c r="E17" s="33"/>
      <c r="F17" s="33"/>
      <c r="G17" s="2" t="str">
        <f>まとめ!A129</f>
        <v>24G1057</v>
      </c>
      <c r="H17" s="2" t="str">
        <f>まとめ!B129</f>
        <v>此上　健友</v>
      </c>
      <c r="I17" s="3"/>
      <c r="J17" s="33"/>
      <c r="K17" s="3"/>
      <c r="L17" s="1"/>
      <c r="M17" s="1"/>
    </row>
    <row r="18" spans="2:13" ht="29.5" customHeight="1">
      <c r="B18" s="34"/>
      <c r="C18" s="37"/>
      <c r="D18" s="33"/>
      <c r="E18" s="33"/>
      <c r="F18" s="33"/>
      <c r="G18" s="2" t="str">
        <f>まとめ!A130</f>
        <v>24G1066</v>
      </c>
      <c r="H18" s="2" t="str">
        <f>まとめ!B130</f>
        <v>佐藤　琉惺</v>
      </c>
      <c r="I18" s="3"/>
      <c r="J18" s="33"/>
      <c r="K18" s="3"/>
      <c r="L18" s="1"/>
      <c r="M18" s="1"/>
    </row>
    <row r="19" spans="2:13" ht="29.5" customHeight="1">
      <c r="B19" s="34"/>
      <c r="C19" s="37"/>
      <c r="D19" s="33"/>
      <c r="E19" s="33"/>
      <c r="F19" s="33"/>
      <c r="G19" s="2" t="str">
        <f>まとめ!A131</f>
        <v>24G1120</v>
      </c>
      <c r="H19" s="2" t="str">
        <f>まとめ!B131</f>
        <v>藤本　眞輝</v>
      </c>
      <c r="I19" s="3"/>
      <c r="J19" s="33"/>
      <c r="K19" s="3"/>
      <c r="L19" s="1"/>
      <c r="M19" s="1"/>
    </row>
    <row r="20" spans="2:13" ht="29.5" customHeight="1">
      <c r="B20" s="34">
        <f>まとめ!D132</f>
        <v>36</v>
      </c>
      <c r="C20" s="37"/>
      <c r="D20" s="33"/>
      <c r="E20" s="33"/>
      <c r="F20" s="33"/>
      <c r="G20" s="2" t="str">
        <f>まとめ!A132</f>
        <v>24G1006</v>
      </c>
      <c r="H20" s="2" t="str">
        <f>まとめ!B132</f>
        <v>足立　輝弥</v>
      </c>
      <c r="I20" s="3"/>
      <c r="J20" s="33"/>
      <c r="K20" s="3"/>
      <c r="L20" s="1"/>
      <c r="M20" s="1"/>
    </row>
    <row r="21" spans="2:13" ht="29.5" customHeight="1">
      <c r="B21" s="34"/>
      <c r="C21" s="37"/>
      <c r="D21" s="33"/>
      <c r="E21" s="33"/>
      <c r="F21" s="33"/>
      <c r="G21" s="2" t="str">
        <f>まとめ!A133</f>
        <v>24G1014</v>
      </c>
      <c r="H21" s="2" t="str">
        <f>まとめ!B133</f>
        <v>市川　瑠生</v>
      </c>
      <c r="I21" s="3"/>
      <c r="J21" s="33"/>
      <c r="K21" s="3"/>
      <c r="L21" s="1"/>
      <c r="M21" s="1"/>
    </row>
    <row r="22" spans="2:13" ht="29.5" customHeight="1">
      <c r="B22" s="34"/>
      <c r="C22" s="37"/>
      <c r="D22" s="33"/>
      <c r="E22" s="33"/>
      <c r="F22" s="33"/>
      <c r="G22" s="2" t="str">
        <f>まとめ!A134</f>
        <v>24G1103</v>
      </c>
      <c r="H22" s="2" t="str">
        <f>まとめ!B134</f>
        <v>中野　詩音</v>
      </c>
      <c r="I22" s="3"/>
      <c r="J22" s="33"/>
      <c r="K22" s="3"/>
      <c r="L22" s="1"/>
      <c r="M22" s="1"/>
    </row>
    <row r="23" spans="2:13" ht="29.5" customHeight="1">
      <c r="B23" s="34">
        <f>まとめ!D135</f>
        <v>15</v>
      </c>
      <c r="C23" s="37"/>
      <c r="D23" s="33"/>
      <c r="E23" s="33"/>
      <c r="F23" s="33"/>
      <c r="G23" s="2" t="str">
        <f>まとめ!A135</f>
        <v>24G1003</v>
      </c>
      <c r="H23" s="2" t="str">
        <f>まとめ!B135</f>
        <v>麻田　竜希</v>
      </c>
      <c r="I23" s="3"/>
      <c r="J23" s="33"/>
      <c r="K23" s="3"/>
      <c r="L23" s="1"/>
      <c r="M23" s="1"/>
    </row>
    <row r="24" spans="2:13" ht="29.5" customHeight="1">
      <c r="B24" s="34"/>
      <c r="C24" s="37"/>
      <c r="D24" s="33"/>
      <c r="E24" s="33"/>
      <c r="F24" s="33"/>
      <c r="G24" s="2" t="str">
        <f>まとめ!A136</f>
        <v>24G1010</v>
      </c>
      <c r="H24" s="2" t="str">
        <f>まとめ!B136</f>
        <v>石川　司理</v>
      </c>
      <c r="I24" s="3"/>
      <c r="J24" s="33"/>
      <c r="K24" s="3"/>
      <c r="L24" s="1"/>
      <c r="M24" s="1"/>
    </row>
    <row r="25" spans="2:13" ht="29.5" customHeight="1">
      <c r="B25" s="34"/>
      <c r="C25" s="37"/>
      <c r="D25" s="33"/>
      <c r="E25" s="33"/>
      <c r="F25" s="33"/>
      <c r="G25" s="2" t="str">
        <f>まとめ!A137</f>
        <v>24G1055</v>
      </c>
      <c r="H25" s="2" t="str">
        <f>まとめ!B137</f>
        <v>桑原　拓也</v>
      </c>
      <c r="I25" s="3"/>
      <c r="J25" s="33"/>
      <c r="K25" s="3"/>
      <c r="L25" s="1"/>
      <c r="M25" s="1"/>
    </row>
    <row r="26" spans="2:13" ht="29.5" customHeight="1">
      <c r="B26" s="34">
        <f>まとめ!D138</f>
        <v>40</v>
      </c>
      <c r="C26" s="37"/>
      <c r="D26" s="33"/>
      <c r="E26" s="33"/>
      <c r="F26" s="33"/>
      <c r="G26" s="2" t="str">
        <f>まとめ!A138</f>
        <v>24G1021</v>
      </c>
      <c r="H26" s="2" t="str">
        <f>まとめ!B138</f>
        <v>宇井　祐真</v>
      </c>
      <c r="I26" s="3"/>
      <c r="J26" s="33"/>
      <c r="K26" s="3"/>
      <c r="L26" s="1"/>
      <c r="M26" s="1"/>
    </row>
    <row r="27" spans="2:13" ht="29.5" customHeight="1">
      <c r="B27" s="34"/>
      <c r="C27" s="37"/>
      <c r="D27" s="33"/>
      <c r="E27" s="33"/>
      <c r="F27" s="33"/>
      <c r="G27" s="2" t="str">
        <f>まとめ!A139</f>
        <v>24G1026</v>
      </c>
      <c r="H27" s="2" t="str">
        <f>まとめ!B139</f>
        <v>梅野　大誠</v>
      </c>
      <c r="I27" s="3"/>
      <c r="J27" s="33"/>
      <c r="K27" s="3"/>
      <c r="L27" s="1"/>
      <c r="M27" s="1"/>
    </row>
    <row r="28" spans="2:13" ht="29.5" customHeight="1">
      <c r="B28" s="34"/>
      <c r="C28" s="37"/>
      <c r="D28" s="33"/>
      <c r="E28" s="33"/>
      <c r="F28" s="33"/>
      <c r="G28" s="2" t="str">
        <f>まとめ!A140</f>
        <v>24G1136</v>
      </c>
      <c r="H28" s="2" t="str">
        <f>まとめ!B140</f>
        <v>山口　侑希</v>
      </c>
      <c r="I28" s="3"/>
      <c r="J28" s="33"/>
      <c r="K28" s="3"/>
      <c r="L28" s="1"/>
      <c r="M28" s="1"/>
    </row>
    <row r="29" spans="2:13" ht="29.5" customHeight="1">
      <c r="B29" s="34">
        <v>44</v>
      </c>
      <c r="C29" s="37"/>
      <c r="D29" s="33"/>
      <c r="E29" s="33"/>
      <c r="F29" s="33"/>
      <c r="G29" s="2">
        <v>2131071</v>
      </c>
      <c r="H29" s="2" t="s">
        <v>0</v>
      </c>
      <c r="I29" s="3"/>
      <c r="J29" s="33"/>
      <c r="K29" s="3"/>
      <c r="L29" s="1"/>
      <c r="M29" s="1"/>
    </row>
    <row r="30" spans="2:13" ht="29.5" customHeight="1">
      <c r="B30" s="34"/>
      <c r="C30" s="37"/>
      <c r="D30" s="33"/>
      <c r="E30" s="33"/>
      <c r="F30" s="33"/>
      <c r="G30" s="2">
        <v>2231119</v>
      </c>
      <c r="H30" s="2" t="s">
        <v>5</v>
      </c>
      <c r="I30" s="3"/>
      <c r="J30" s="33"/>
      <c r="K30" s="3"/>
      <c r="L30" s="1"/>
      <c r="M30" s="1"/>
    </row>
    <row r="31" spans="2:13" ht="29.5" customHeight="1">
      <c r="B31" s="34"/>
      <c r="C31" s="37"/>
      <c r="D31" s="33"/>
      <c r="E31" s="33"/>
      <c r="F31" s="33"/>
      <c r="G31" s="2">
        <v>2231161</v>
      </c>
      <c r="H31" s="2" t="s">
        <v>7</v>
      </c>
      <c r="I31" s="3"/>
      <c r="J31" s="33"/>
      <c r="K31" s="3"/>
      <c r="L31" s="1"/>
      <c r="M31" s="1"/>
    </row>
    <row r="32" spans="2:13" ht="29.5" customHeight="1">
      <c r="B32" s="34"/>
      <c r="C32" s="37"/>
      <c r="D32" s="33"/>
      <c r="E32" s="33"/>
      <c r="F32" s="33"/>
      <c r="G32" s="2" t="s">
        <v>14</v>
      </c>
      <c r="H32" s="2" t="s">
        <v>15</v>
      </c>
      <c r="I32" s="3"/>
      <c r="J32" s="33"/>
      <c r="K32" s="3"/>
      <c r="L32" s="1"/>
      <c r="M32" s="1"/>
    </row>
    <row r="33" spans="2:13" ht="29.5" customHeight="1">
      <c r="B33" s="34"/>
      <c r="C33" s="37"/>
      <c r="D33" s="33"/>
      <c r="E33" s="33"/>
      <c r="F33" s="33"/>
      <c r="G33" s="2" t="s">
        <v>18</v>
      </c>
      <c r="H33" s="2" t="s">
        <v>19</v>
      </c>
      <c r="I33" s="3"/>
      <c r="J33" s="33"/>
      <c r="K33" s="3"/>
      <c r="L33" s="1"/>
      <c r="M33" s="1"/>
    </row>
    <row r="34" spans="2:13" ht="29.5" customHeight="1">
      <c r="B34" s="34">
        <v>43</v>
      </c>
      <c r="C34" s="37"/>
      <c r="D34" s="33"/>
      <c r="E34" s="33"/>
      <c r="F34" s="33"/>
      <c r="G34" s="2">
        <v>2231108</v>
      </c>
      <c r="H34" s="2" t="s">
        <v>4</v>
      </c>
      <c r="I34" s="3"/>
      <c r="J34" s="33"/>
      <c r="K34" s="3"/>
      <c r="L34" s="1"/>
      <c r="M34" s="1"/>
    </row>
    <row r="35" spans="2:13" ht="29.5" customHeight="1">
      <c r="B35" s="34"/>
      <c r="C35" s="37"/>
      <c r="D35" s="33"/>
      <c r="E35" s="33"/>
      <c r="F35" s="33"/>
      <c r="G35" s="2">
        <v>2231037</v>
      </c>
      <c r="H35" s="2" t="s">
        <v>3</v>
      </c>
      <c r="I35" s="3"/>
      <c r="J35" s="33"/>
      <c r="K35" s="3"/>
      <c r="L35" s="1"/>
      <c r="M35" s="1"/>
    </row>
    <row r="36" spans="2:13" ht="29.5" customHeight="1">
      <c r="B36" s="34"/>
      <c r="C36" s="37"/>
      <c r="D36" s="33"/>
      <c r="E36" s="33"/>
      <c r="F36" s="33"/>
      <c r="G36" s="2">
        <v>2231138</v>
      </c>
      <c r="H36" s="2" t="s">
        <v>6</v>
      </c>
      <c r="I36" s="3"/>
      <c r="J36" s="33"/>
      <c r="K36" s="3"/>
      <c r="L36" s="1"/>
      <c r="M36" s="1"/>
    </row>
    <row r="37" spans="2:13" ht="29.5" customHeight="1">
      <c r="B37" s="34"/>
      <c r="C37" s="37"/>
      <c r="D37" s="33"/>
      <c r="E37" s="33"/>
      <c r="F37" s="33"/>
      <c r="G37" s="2">
        <v>2331138</v>
      </c>
      <c r="H37" s="2" t="s">
        <v>10</v>
      </c>
      <c r="I37" s="3"/>
      <c r="J37" s="33"/>
      <c r="K37" s="3"/>
      <c r="L37" s="1"/>
      <c r="M37" s="1"/>
    </row>
    <row r="38" spans="2:13" ht="29.5" customHeight="1">
      <c r="B38" s="34"/>
      <c r="C38" s="37"/>
      <c r="D38" s="33"/>
      <c r="E38" s="33"/>
      <c r="F38" s="33"/>
      <c r="G38" s="2">
        <v>2331143</v>
      </c>
      <c r="H38" s="2" t="s">
        <v>11</v>
      </c>
      <c r="I38" s="3"/>
      <c r="J38" s="33"/>
      <c r="K38" s="3"/>
      <c r="L38" s="1"/>
      <c r="M38" s="1"/>
    </row>
    <row r="39" spans="2:13" ht="29.5" customHeight="1">
      <c r="B39" s="34"/>
      <c r="C39" s="37"/>
      <c r="D39" s="33"/>
      <c r="E39" s="33"/>
      <c r="F39" s="33"/>
      <c r="G39" s="2" t="s">
        <v>12</v>
      </c>
      <c r="H39" s="2" t="s">
        <v>13</v>
      </c>
      <c r="I39" s="3"/>
      <c r="J39" s="33"/>
      <c r="K39" s="3"/>
      <c r="L39" s="1"/>
      <c r="M39" s="1"/>
    </row>
  </sheetData>
  <mergeCells count="67">
    <mergeCell ref="J34:J39"/>
    <mergeCell ref="B29:B33"/>
    <mergeCell ref="C29:C33"/>
    <mergeCell ref="D29:D33"/>
    <mergeCell ref="E29:E33"/>
    <mergeCell ref="F29:F33"/>
    <mergeCell ref="J29:J33"/>
    <mergeCell ref="B34:B39"/>
    <mergeCell ref="C34:C39"/>
    <mergeCell ref="D34:D39"/>
    <mergeCell ref="E34:E39"/>
    <mergeCell ref="F34:F39"/>
    <mergeCell ref="J26:J28"/>
    <mergeCell ref="B23:B25"/>
    <mergeCell ref="C23:C25"/>
    <mergeCell ref="D23:D25"/>
    <mergeCell ref="E23:E25"/>
    <mergeCell ref="F23:F25"/>
    <mergeCell ref="J23:J25"/>
    <mergeCell ref="B26:B28"/>
    <mergeCell ref="C26:C28"/>
    <mergeCell ref="D26:D28"/>
    <mergeCell ref="E26:E28"/>
    <mergeCell ref="F26:F28"/>
    <mergeCell ref="J20:J22"/>
    <mergeCell ref="B17:B19"/>
    <mergeCell ref="C17:C19"/>
    <mergeCell ref="D17:D19"/>
    <mergeCell ref="E17:E19"/>
    <mergeCell ref="F17:F19"/>
    <mergeCell ref="J17:J19"/>
    <mergeCell ref="B20:B22"/>
    <mergeCell ref="C20:C22"/>
    <mergeCell ref="D20:D22"/>
    <mergeCell ref="E20:E22"/>
    <mergeCell ref="F20:F22"/>
    <mergeCell ref="J14:J16"/>
    <mergeCell ref="B11:B13"/>
    <mergeCell ref="C11:C13"/>
    <mergeCell ref="D11:D13"/>
    <mergeCell ref="E11:E13"/>
    <mergeCell ref="F11:F13"/>
    <mergeCell ref="J11:J13"/>
    <mergeCell ref="B14:B16"/>
    <mergeCell ref="C14:C16"/>
    <mergeCell ref="D14:D16"/>
    <mergeCell ref="E14:E16"/>
    <mergeCell ref="F14:F16"/>
    <mergeCell ref="J8:J10"/>
    <mergeCell ref="J2:J4"/>
    <mergeCell ref="B5:B7"/>
    <mergeCell ref="C5:C7"/>
    <mergeCell ref="D5:D7"/>
    <mergeCell ref="E5:E7"/>
    <mergeCell ref="F5:F7"/>
    <mergeCell ref="J5:J7"/>
    <mergeCell ref="B8:B10"/>
    <mergeCell ref="C8:C10"/>
    <mergeCell ref="D8:D10"/>
    <mergeCell ref="E8:E10"/>
    <mergeCell ref="F8:F10"/>
    <mergeCell ref="G1:I1"/>
    <mergeCell ref="B2:B4"/>
    <mergeCell ref="C2:C4"/>
    <mergeCell ref="D2:D4"/>
    <mergeCell ref="E2:E4"/>
    <mergeCell ref="F2:F4"/>
  </mergeCells>
  <phoneticPr fontId="1"/>
  <dataValidations count="1">
    <dataValidation type="whole" allowBlank="1" showInputMessage="1" showErrorMessage="1" sqref="C2:C4" xr:uid="{F0098514-ED49-4F7D-87E5-515984919E8F}">
      <formula1>0</formula1>
      <formula2>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44800C5-54FB-445A-863D-7F7CAF08580C}">
          <x14:formula1>
            <xm:f>プルダウン用隠し!$A$2:$A$5</xm:f>
          </x14:formula1>
          <xm:sqref>I2:J39 D2:F39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15787-88BB-404B-AF57-95EC5FBA37DF}">
  <dimension ref="A1:T140"/>
  <sheetViews>
    <sheetView workbookViewId="0">
      <selection activeCell="F4" sqref="F4"/>
    </sheetView>
  </sheetViews>
  <sheetFormatPr baseColWidth="10" defaultColWidth="8.83203125" defaultRowHeight="18"/>
  <cols>
    <col min="1" max="1" width="9.83203125" customWidth="1"/>
    <col min="2" max="2" width="12.33203125" customWidth="1"/>
    <col min="3" max="3" width="15.83203125" customWidth="1"/>
    <col min="6" max="7" width="14" customWidth="1"/>
    <col min="8" max="8" width="10" customWidth="1"/>
    <col min="9" max="9" width="13.5" customWidth="1"/>
    <col min="10" max="10" width="15.33203125" customWidth="1"/>
    <col min="11" max="11" width="9.5" customWidth="1"/>
    <col min="12" max="12" width="13.5" customWidth="1"/>
    <col min="13" max="13" width="9.83203125" customWidth="1"/>
    <col min="14" max="14" width="11" customWidth="1"/>
    <col min="16" max="16" width="14.5" customWidth="1"/>
    <col min="17" max="17" width="16.5" customWidth="1"/>
    <col min="19" max="19" width="14.5" customWidth="1"/>
    <col min="20" max="20" width="11" customWidth="1"/>
  </cols>
  <sheetData>
    <row r="1" spans="1:20" ht="19" thickBot="1">
      <c r="A1" s="7" t="s">
        <v>282</v>
      </c>
      <c r="B1" s="7" t="s">
        <v>281</v>
      </c>
      <c r="C1" s="7" t="s">
        <v>280</v>
      </c>
      <c r="D1" s="7" t="s">
        <v>277</v>
      </c>
      <c r="E1" s="7" t="s">
        <v>278</v>
      </c>
      <c r="F1" s="8" t="s">
        <v>279</v>
      </c>
      <c r="G1" s="7" t="s">
        <v>297</v>
      </c>
      <c r="H1" s="9" t="s">
        <v>294</v>
      </c>
      <c r="I1" s="7" t="s">
        <v>283</v>
      </c>
      <c r="J1" s="7" t="s">
        <v>292</v>
      </c>
      <c r="K1" s="7" t="s">
        <v>284</v>
      </c>
      <c r="L1" s="7" t="s">
        <v>285</v>
      </c>
      <c r="M1" s="8" t="s">
        <v>286</v>
      </c>
      <c r="N1" s="10" t="s">
        <v>298</v>
      </c>
      <c r="O1" s="7" t="s">
        <v>296</v>
      </c>
      <c r="P1" s="7" t="s">
        <v>299</v>
      </c>
      <c r="Q1" s="7" t="s">
        <v>300</v>
      </c>
      <c r="R1" s="7" t="s">
        <v>301</v>
      </c>
      <c r="S1" s="7" t="s">
        <v>302</v>
      </c>
      <c r="T1" s="7" t="s">
        <v>303</v>
      </c>
    </row>
    <row r="2" spans="1:20">
      <c r="A2" s="11" t="s">
        <v>38</v>
      </c>
      <c r="B2" s="11" t="s">
        <v>39</v>
      </c>
      <c r="C2" s="11" t="s">
        <v>22</v>
      </c>
      <c r="D2" s="11">
        <v>16</v>
      </c>
      <c r="E2" s="11">
        <v>41</v>
      </c>
      <c r="F2" s="12" t="s">
        <v>275</v>
      </c>
      <c r="G2" s="11">
        <f t="shared" ref="G2:G33" si="0">SUM($P2:$T2)*$O2</f>
        <v>0</v>
      </c>
      <c r="H2" s="13">
        <f>VLOOKUP($D2,'722講義室'!$B$2:$F$34,2,FALSE)</f>
        <v>0</v>
      </c>
      <c r="I2" s="11">
        <f>VLOOKUP($D2,'722講義室'!$B$2:$F$34,3,FALSE)</f>
        <v>0</v>
      </c>
      <c r="J2" s="11">
        <f>VLOOKUP($D2,'722講義室'!$B$2:$F$34,4,FALSE)</f>
        <v>0</v>
      </c>
      <c r="K2" s="11">
        <f>VLOOKUP($D2,'722講義室'!$B$2:$F$34,5,FALSE)</f>
        <v>0</v>
      </c>
      <c r="L2" s="11">
        <f>VLOOKUP($A2,'722講義室'!$G$2:$I$34,3,FALSE)</f>
        <v>0</v>
      </c>
      <c r="M2" s="12">
        <f>VLOOKUP($D2,'722講義室'!$B$2:$J$34,9,FALSE)</f>
        <v>0</v>
      </c>
      <c r="N2" s="14">
        <f t="shared" ref="N2:N33" si="1">TIME(0, INT($H2/100), MOD($H2,100))</f>
        <v>0</v>
      </c>
      <c r="O2" s="15" cm="1">
        <f t="array" ref="O2">_xlfn.LET(
  _xlpm.t, TIME(0, INT($H2/100), MOD($H2,100)),
  _xlfn.IFS(
    AND(_xlpm.t&gt;=TIME(0,7,1),  _xlpm.t&lt;=TIME(0,8,19)), 1,
    AND(_xlpm.t&gt;=TIME(0,6,1),  _xlpm.t&lt;=TIME(0,7,0)),  0.8,
    AND(_xlpm.t&gt;=TIME(0,8,20), _xlpm.t&lt;=TIME(0,8,59)), 0.8,
    AND(_xlpm.t&gt;=TIME(0,5,1),  _xlpm.t&lt;=TIME(0,6,0)),  0.5,
    AND(_xlpm.t&gt;=TIME(0,9,0),  _xlpm.t&lt;=TIME(0,9,59)), 0.5,
    TRUE, 0.3
  )
)</f>
        <v>0.3</v>
      </c>
      <c r="P2" s="16">
        <f t="shared" ref="P2:P33" si="2">VALUE(LEFT(I2,1))</f>
        <v>0</v>
      </c>
      <c r="Q2" s="16">
        <f t="shared" ref="Q2:Q33" si="3">VALUE(LEFT(J2,1))</f>
        <v>0</v>
      </c>
      <c r="R2" s="16">
        <f t="shared" ref="R2:R33" si="4">VALUE(LEFT(K2,1))</f>
        <v>0</v>
      </c>
      <c r="S2" s="16">
        <f t="shared" ref="S2:S33" si="5">VALUE(LEFT(L2,1))</f>
        <v>0</v>
      </c>
      <c r="T2" s="16">
        <f t="shared" ref="T2:T33" si="6">VALUE(LEFT(M2,1))</f>
        <v>0</v>
      </c>
    </row>
    <row r="3" spans="1:20">
      <c r="A3" s="11" t="s">
        <v>130</v>
      </c>
      <c r="B3" s="11" t="s">
        <v>131</v>
      </c>
      <c r="C3" s="11" t="s">
        <v>22</v>
      </c>
      <c r="D3" s="11">
        <v>16</v>
      </c>
      <c r="E3" s="11">
        <v>41</v>
      </c>
      <c r="F3" s="12" t="s">
        <v>23</v>
      </c>
      <c r="G3" s="11">
        <f t="shared" si="0"/>
        <v>0</v>
      </c>
      <c r="H3" s="13">
        <f>VLOOKUP($D3,'722講義室'!$B$2:$F$34,2,FALSE)</f>
        <v>0</v>
      </c>
      <c r="I3" s="11">
        <f>VLOOKUP($D3,'722講義室'!$B$2:$F$34,3,FALSE)</f>
        <v>0</v>
      </c>
      <c r="J3" s="11">
        <f>VLOOKUP($D3,'722講義室'!$B$2:$F$34,4,FALSE)</f>
        <v>0</v>
      </c>
      <c r="K3" s="11">
        <f>VLOOKUP($D3,'722講義室'!$B$2:$F$34,5,FALSE)</f>
        <v>0</v>
      </c>
      <c r="L3" s="11">
        <f>VLOOKUP($A3,'722講義室'!$G$2:$I$34,3,FALSE)</f>
        <v>0</v>
      </c>
      <c r="M3" s="12">
        <f>VLOOKUP($D3,'722講義室'!$B$2:$J$34,9,FALSE)</f>
        <v>0</v>
      </c>
      <c r="N3" s="14">
        <f t="shared" si="1"/>
        <v>0</v>
      </c>
      <c r="O3" s="13" cm="1">
        <f t="array" ref="O3">_xlfn.LET(
  _xlpm.t, TIME(0, INT($H3/100), MOD($H3,100)),
  _xlfn.IFS(
    AND(_xlpm.t&gt;=TIME(0,7,1),  _xlpm.t&lt;=TIME(0,8,19)), 1,
    AND(_xlpm.t&gt;=TIME(0,6,1),  _xlpm.t&lt;=TIME(0,7,0)),  0.8,
    AND(_xlpm.t&gt;=TIME(0,8,20), _xlpm.t&lt;=TIME(0,8,59)), 0.8,
    AND(_xlpm.t&gt;=TIME(0,5,1),  _xlpm.t&lt;=TIME(0,6,0)),  0.5,
    AND(_xlpm.t&gt;=TIME(0,9,0),  _xlpm.t&lt;=TIME(0,9,59)), 0.5,
    TRUE, 0.3
  )
)</f>
        <v>0.3</v>
      </c>
      <c r="P3" s="11">
        <f t="shared" si="2"/>
        <v>0</v>
      </c>
      <c r="Q3" s="11">
        <f t="shared" si="3"/>
        <v>0</v>
      </c>
      <c r="R3" s="11">
        <f t="shared" si="4"/>
        <v>0</v>
      </c>
      <c r="S3" s="11">
        <f t="shared" si="5"/>
        <v>0</v>
      </c>
      <c r="T3" s="11">
        <f t="shared" si="6"/>
        <v>0</v>
      </c>
    </row>
    <row r="4" spans="1:20">
      <c r="A4" s="11" t="s">
        <v>146</v>
      </c>
      <c r="B4" s="11" t="s">
        <v>147</v>
      </c>
      <c r="C4" s="11" t="s">
        <v>22</v>
      </c>
      <c r="D4" s="11">
        <v>16</v>
      </c>
      <c r="E4" s="11">
        <v>41</v>
      </c>
      <c r="F4" s="12" t="s">
        <v>23</v>
      </c>
      <c r="G4" s="11">
        <f t="shared" si="0"/>
        <v>0</v>
      </c>
      <c r="H4" s="13">
        <f>VLOOKUP($D4,'722講義室'!$B$2:$F$34,2,FALSE)</f>
        <v>0</v>
      </c>
      <c r="I4" s="11">
        <f>VLOOKUP($D4,'722講義室'!$B$2:$F$34,3,FALSE)</f>
        <v>0</v>
      </c>
      <c r="J4" s="11">
        <f>VLOOKUP($D4,'722講義室'!$B$2:$F$34,4,FALSE)</f>
        <v>0</v>
      </c>
      <c r="K4" s="11">
        <f>VLOOKUP($D4,'722講義室'!$B$2:$F$34,5,FALSE)</f>
        <v>0</v>
      </c>
      <c r="L4" s="11">
        <f>VLOOKUP($A4,'722講義室'!$G$2:$I$34,3,FALSE)</f>
        <v>0</v>
      </c>
      <c r="M4" s="12">
        <f>VLOOKUP($D4,'722講義室'!$B$2:$J$34,9,FALSE)</f>
        <v>0</v>
      </c>
      <c r="N4" s="14">
        <f t="shared" si="1"/>
        <v>0</v>
      </c>
      <c r="O4" s="13" cm="1">
        <f t="array" ref="O4">_xlfn.LET(
  _xlpm.t, TIME(0, INT($H4/100), MOD($H4,100)),
  _xlfn.IFS(
    AND(_xlpm.t&gt;=TIME(0,7,1),  _xlpm.t&lt;=TIME(0,8,19)), 1,
    AND(_xlpm.t&gt;=TIME(0,6,1),  _xlpm.t&lt;=TIME(0,7,0)),  0.8,
    AND(_xlpm.t&gt;=TIME(0,8,20), _xlpm.t&lt;=TIME(0,8,59)), 0.8,
    AND(_xlpm.t&gt;=TIME(0,5,1),  _xlpm.t&lt;=TIME(0,6,0)),  0.5,
    AND(_xlpm.t&gt;=TIME(0,9,0),  _xlpm.t&lt;=TIME(0,9,59)), 0.5,
    TRUE, 0.3
  )
)</f>
        <v>0.3</v>
      </c>
      <c r="P4" s="11">
        <f t="shared" si="2"/>
        <v>0</v>
      </c>
      <c r="Q4" s="11">
        <f t="shared" si="3"/>
        <v>0</v>
      </c>
      <c r="R4" s="11">
        <f t="shared" si="4"/>
        <v>0</v>
      </c>
      <c r="S4" s="11">
        <f t="shared" si="5"/>
        <v>0</v>
      </c>
      <c r="T4" s="11">
        <f t="shared" si="6"/>
        <v>0</v>
      </c>
    </row>
    <row r="5" spans="1:20">
      <c r="A5" s="11" t="s">
        <v>144</v>
      </c>
      <c r="B5" s="11" t="s">
        <v>145</v>
      </c>
      <c r="C5" s="11" t="s">
        <v>22</v>
      </c>
      <c r="D5" s="11">
        <v>34</v>
      </c>
      <c r="E5" s="11">
        <v>38</v>
      </c>
      <c r="F5" s="12" t="s">
        <v>23</v>
      </c>
      <c r="G5" s="11">
        <f t="shared" si="0"/>
        <v>0</v>
      </c>
      <c r="H5" s="13">
        <f>VLOOKUP($D5,'722講義室'!$B$2:$F$34,2,FALSE)</f>
        <v>0</v>
      </c>
      <c r="I5" s="11">
        <f>VLOOKUP($D5,'722講義室'!$B$2:$F$34,3,FALSE)</f>
        <v>0</v>
      </c>
      <c r="J5" s="11">
        <f>VLOOKUP($D5,'722講義室'!$B$2:$F$34,4,FALSE)</f>
        <v>0</v>
      </c>
      <c r="K5" s="11">
        <f>VLOOKUP($D5,'722講義室'!$B$2:$F$34,5,FALSE)</f>
        <v>0</v>
      </c>
      <c r="L5" s="11">
        <f>VLOOKUP($A5,'722講義室'!$G$2:$I$34,3,FALSE)</f>
        <v>0</v>
      </c>
      <c r="M5" s="12">
        <f>VLOOKUP($D5,'722講義室'!$B$2:$J$34,9,FALSE)</f>
        <v>0</v>
      </c>
      <c r="N5" s="14">
        <f t="shared" si="1"/>
        <v>0</v>
      </c>
      <c r="O5" s="13" cm="1">
        <f t="array" ref="O5">_xlfn.LET(
  _xlpm.t, TIME(0, INT($H5/100), MOD($H5,100)),
  _xlfn.IFS(
    AND(_xlpm.t&gt;=TIME(0,7,1),  _xlpm.t&lt;=TIME(0,8,19)), 1,
    AND(_xlpm.t&gt;=TIME(0,6,1),  _xlpm.t&lt;=TIME(0,7,0)),  0.8,
    AND(_xlpm.t&gt;=TIME(0,8,20), _xlpm.t&lt;=TIME(0,8,59)), 0.8,
    AND(_xlpm.t&gt;=TIME(0,5,1),  _xlpm.t&lt;=TIME(0,6,0)),  0.5,
    AND(_xlpm.t&gt;=TIME(0,9,0),  _xlpm.t&lt;=TIME(0,9,59)), 0.5,
    TRUE, 0.3
  )
)</f>
        <v>0.3</v>
      </c>
      <c r="P5" s="11">
        <f t="shared" si="2"/>
        <v>0</v>
      </c>
      <c r="Q5" s="11">
        <f t="shared" si="3"/>
        <v>0</v>
      </c>
      <c r="R5" s="11">
        <f t="shared" si="4"/>
        <v>0</v>
      </c>
      <c r="S5" s="11">
        <f t="shared" si="5"/>
        <v>0</v>
      </c>
      <c r="T5" s="11">
        <f t="shared" si="6"/>
        <v>0</v>
      </c>
    </row>
    <row r="6" spans="1:20">
      <c r="A6" s="11" t="s">
        <v>200</v>
      </c>
      <c r="B6" s="11" t="s">
        <v>201</v>
      </c>
      <c r="C6" s="11" t="s">
        <v>22</v>
      </c>
      <c r="D6" s="11">
        <v>34</v>
      </c>
      <c r="E6" s="11">
        <v>38</v>
      </c>
      <c r="F6" s="12" t="s">
        <v>23</v>
      </c>
      <c r="G6" s="11">
        <f t="shared" si="0"/>
        <v>0</v>
      </c>
      <c r="H6" s="13">
        <f>VLOOKUP($D6,'722講義室'!$B$2:$F$34,2,FALSE)</f>
        <v>0</v>
      </c>
      <c r="I6" s="11">
        <f>VLOOKUP($D6,'722講義室'!$B$2:$F$34,3,FALSE)</f>
        <v>0</v>
      </c>
      <c r="J6" s="11">
        <f>VLOOKUP($D6,'722講義室'!$B$2:$F$34,4,FALSE)</f>
        <v>0</v>
      </c>
      <c r="K6" s="11">
        <f>VLOOKUP($D6,'722講義室'!$B$2:$F$34,5,FALSE)</f>
        <v>0</v>
      </c>
      <c r="L6" s="11">
        <f>VLOOKUP($A6,'722講義室'!$G$2:$I$34,3,FALSE)</f>
        <v>0</v>
      </c>
      <c r="M6" s="12">
        <f>VLOOKUP($D6,'722講義室'!$B$2:$J$34,9,FALSE)</f>
        <v>0</v>
      </c>
      <c r="N6" s="14">
        <f t="shared" si="1"/>
        <v>0</v>
      </c>
      <c r="O6" s="13" cm="1">
        <f t="array" ref="O6">_xlfn.LET(
  _xlpm.t, TIME(0, INT($H6/100), MOD($H6,100)),
  _xlfn.IFS(
    AND(_xlpm.t&gt;=TIME(0,7,1),  _xlpm.t&lt;=TIME(0,8,19)), 1,
    AND(_xlpm.t&gt;=TIME(0,6,1),  _xlpm.t&lt;=TIME(0,7,0)),  0.8,
    AND(_xlpm.t&gt;=TIME(0,8,20), _xlpm.t&lt;=TIME(0,8,59)), 0.8,
    AND(_xlpm.t&gt;=TIME(0,5,1),  _xlpm.t&lt;=TIME(0,6,0)),  0.5,
    AND(_xlpm.t&gt;=TIME(0,9,0),  _xlpm.t&lt;=TIME(0,9,59)), 0.5,
    TRUE, 0.3
  )
)</f>
        <v>0.3</v>
      </c>
      <c r="P6" s="11">
        <f t="shared" si="2"/>
        <v>0</v>
      </c>
      <c r="Q6" s="11">
        <f t="shared" si="3"/>
        <v>0</v>
      </c>
      <c r="R6" s="11">
        <f t="shared" si="4"/>
        <v>0</v>
      </c>
      <c r="S6" s="11">
        <f t="shared" si="5"/>
        <v>0</v>
      </c>
      <c r="T6" s="11">
        <f t="shared" si="6"/>
        <v>0</v>
      </c>
    </row>
    <row r="7" spans="1:20">
      <c r="A7" s="11" t="s">
        <v>208</v>
      </c>
      <c r="B7" s="11" t="s">
        <v>209</v>
      </c>
      <c r="C7" s="11" t="s">
        <v>22</v>
      </c>
      <c r="D7" s="11">
        <v>34</v>
      </c>
      <c r="E7" s="11">
        <v>38</v>
      </c>
      <c r="F7" s="12" t="s">
        <v>23</v>
      </c>
      <c r="G7" s="11">
        <f t="shared" si="0"/>
        <v>0</v>
      </c>
      <c r="H7" s="13">
        <f>VLOOKUP($D7,'722講義室'!$B$2:$F$34,2,FALSE)</f>
        <v>0</v>
      </c>
      <c r="I7" s="11">
        <f>VLOOKUP($D7,'722講義室'!$B$2:$F$34,3,FALSE)</f>
        <v>0</v>
      </c>
      <c r="J7" s="11">
        <f>VLOOKUP($D7,'722講義室'!$B$2:$F$34,4,FALSE)</f>
        <v>0</v>
      </c>
      <c r="K7" s="11">
        <f>VLOOKUP($D7,'722講義室'!$B$2:$F$34,5,FALSE)</f>
        <v>0</v>
      </c>
      <c r="L7" s="11">
        <f>VLOOKUP($A7,'722講義室'!$G$2:$I$34,3,FALSE)</f>
        <v>0</v>
      </c>
      <c r="M7" s="12">
        <f>VLOOKUP($D7,'722講義室'!$B$2:$J$34,9,FALSE)</f>
        <v>0</v>
      </c>
      <c r="N7" s="14">
        <f t="shared" si="1"/>
        <v>0</v>
      </c>
      <c r="O7" s="13" cm="1">
        <f t="array" ref="O7">_xlfn.LET(
  _xlpm.t, TIME(0, INT($H7/100), MOD($H7,100)),
  _xlfn.IFS(
    AND(_xlpm.t&gt;=TIME(0,7,1),  _xlpm.t&lt;=TIME(0,8,19)), 1,
    AND(_xlpm.t&gt;=TIME(0,6,1),  _xlpm.t&lt;=TIME(0,7,0)),  0.8,
    AND(_xlpm.t&gt;=TIME(0,8,20), _xlpm.t&lt;=TIME(0,8,59)), 0.8,
    AND(_xlpm.t&gt;=TIME(0,5,1),  _xlpm.t&lt;=TIME(0,6,0)),  0.5,
    AND(_xlpm.t&gt;=TIME(0,9,0),  _xlpm.t&lt;=TIME(0,9,59)), 0.5,
    TRUE, 0.3
  )
)</f>
        <v>0.3</v>
      </c>
      <c r="P7" s="11">
        <f t="shared" si="2"/>
        <v>0</v>
      </c>
      <c r="Q7" s="11">
        <f t="shared" si="3"/>
        <v>0</v>
      </c>
      <c r="R7" s="11">
        <f t="shared" si="4"/>
        <v>0</v>
      </c>
      <c r="S7" s="11">
        <f t="shared" si="5"/>
        <v>0</v>
      </c>
      <c r="T7" s="11">
        <f t="shared" si="6"/>
        <v>0</v>
      </c>
    </row>
    <row r="8" spans="1:20">
      <c r="A8" s="11" t="s">
        <v>184</v>
      </c>
      <c r="B8" s="11" t="s">
        <v>185</v>
      </c>
      <c r="C8" s="11" t="s">
        <v>22</v>
      </c>
      <c r="D8" s="11">
        <v>14</v>
      </c>
      <c r="E8" s="11">
        <v>35</v>
      </c>
      <c r="F8" s="12" t="s">
        <v>23</v>
      </c>
      <c r="G8" s="11">
        <f t="shared" si="0"/>
        <v>0</v>
      </c>
      <c r="H8" s="13">
        <f>VLOOKUP($D8,'722講義室'!$B$2:$F$34,2,FALSE)</f>
        <v>0</v>
      </c>
      <c r="I8" s="11">
        <f>VLOOKUP($D8,'722講義室'!$B$2:$F$34,3,FALSE)</f>
        <v>0</v>
      </c>
      <c r="J8" s="11">
        <f>VLOOKUP($D8,'722講義室'!$B$2:$F$34,4,FALSE)</f>
        <v>0</v>
      </c>
      <c r="K8" s="11">
        <f>VLOOKUP($D8,'722講義室'!$B$2:$F$34,5,FALSE)</f>
        <v>0</v>
      </c>
      <c r="L8" s="11">
        <f>VLOOKUP($A8,'722講義室'!$G$2:$I$34,3,FALSE)</f>
        <v>0</v>
      </c>
      <c r="M8" s="12">
        <f>VLOOKUP($D8,'722講義室'!$B$2:$J$34,9,FALSE)</f>
        <v>0</v>
      </c>
      <c r="N8" s="14">
        <f t="shared" si="1"/>
        <v>0</v>
      </c>
      <c r="O8" s="13" cm="1">
        <f t="array" ref="O8">_xlfn.LET(
  _xlpm.t, TIME(0, INT($H8/100), MOD($H8,100)),
  _xlfn.IFS(
    AND(_xlpm.t&gt;=TIME(0,7,1),  _xlpm.t&lt;=TIME(0,8,19)), 1,
    AND(_xlpm.t&gt;=TIME(0,6,1),  _xlpm.t&lt;=TIME(0,7,0)),  0.8,
    AND(_xlpm.t&gt;=TIME(0,8,20), _xlpm.t&lt;=TIME(0,8,59)), 0.8,
    AND(_xlpm.t&gt;=TIME(0,5,1),  _xlpm.t&lt;=TIME(0,6,0)),  0.5,
    AND(_xlpm.t&gt;=TIME(0,9,0),  _xlpm.t&lt;=TIME(0,9,59)), 0.5,
    TRUE, 0.3
  )
)</f>
        <v>0.3</v>
      </c>
      <c r="P8" s="11">
        <f t="shared" si="2"/>
        <v>0</v>
      </c>
      <c r="Q8" s="11">
        <f t="shared" si="3"/>
        <v>0</v>
      </c>
      <c r="R8" s="11">
        <f t="shared" si="4"/>
        <v>0</v>
      </c>
      <c r="S8" s="11">
        <f t="shared" si="5"/>
        <v>0</v>
      </c>
      <c r="T8" s="11">
        <f t="shared" si="6"/>
        <v>0</v>
      </c>
    </row>
    <row r="9" spans="1:20">
      <c r="A9" s="11" t="s">
        <v>222</v>
      </c>
      <c r="B9" s="11" t="s">
        <v>223</v>
      </c>
      <c r="C9" s="11" t="s">
        <v>22</v>
      </c>
      <c r="D9" s="11">
        <v>14</v>
      </c>
      <c r="E9" s="11">
        <v>35</v>
      </c>
      <c r="F9" s="12" t="s">
        <v>23</v>
      </c>
      <c r="G9" s="11">
        <f t="shared" si="0"/>
        <v>0</v>
      </c>
      <c r="H9" s="13">
        <f>VLOOKUP($D9,'722講義室'!$B$2:$F$34,2,FALSE)</f>
        <v>0</v>
      </c>
      <c r="I9" s="11">
        <f>VLOOKUP($D9,'722講義室'!$B$2:$F$34,3,FALSE)</f>
        <v>0</v>
      </c>
      <c r="J9" s="11">
        <f>VLOOKUP($D9,'722講義室'!$B$2:$F$34,4,FALSE)</f>
        <v>0</v>
      </c>
      <c r="K9" s="11">
        <f>VLOOKUP($D9,'722講義室'!$B$2:$F$34,5,FALSE)</f>
        <v>0</v>
      </c>
      <c r="L9" s="11">
        <f>VLOOKUP($A9,'722講義室'!$G$2:$I$34,3,FALSE)</f>
        <v>0</v>
      </c>
      <c r="M9" s="12">
        <f>VLOOKUP($D9,'722講義室'!$B$2:$J$34,9,FALSE)</f>
        <v>0</v>
      </c>
      <c r="N9" s="14">
        <f t="shared" si="1"/>
        <v>0</v>
      </c>
      <c r="O9" s="13" cm="1">
        <f t="array" ref="O9">_xlfn.LET(
  _xlpm.t, TIME(0, INT($H9/100), MOD($H9,100)),
  _xlfn.IFS(
    AND(_xlpm.t&gt;=TIME(0,7,1),  _xlpm.t&lt;=TIME(0,8,19)), 1,
    AND(_xlpm.t&gt;=TIME(0,6,1),  _xlpm.t&lt;=TIME(0,7,0)),  0.8,
    AND(_xlpm.t&gt;=TIME(0,8,20), _xlpm.t&lt;=TIME(0,8,59)), 0.8,
    AND(_xlpm.t&gt;=TIME(0,5,1),  _xlpm.t&lt;=TIME(0,6,0)),  0.5,
    AND(_xlpm.t&gt;=TIME(0,9,0),  _xlpm.t&lt;=TIME(0,9,59)), 0.5,
    TRUE, 0.3
  )
)</f>
        <v>0.3</v>
      </c>
      <c r="P9" s="11">
        <f t="shared" si="2"/>
        <v>0</v>
      </c>
      <c r="Q9" s="11">
        <f t="shared" si="3"/>
        <v>0</v>
      </c>
      <c r="R9" s="11">
        <f t="shared" si="4"/>
        <v>0</v>
      </c>
      <c r="S9" s="11">
        <f t="shared" si="5"/>
        <v>0</v>
      </c>
      <c r="T9" s="11">
        <f t="shared" si="6"/>
        <v>0</v>
      </c>
    </row>
    <row r="10" spans="1:20">
      <c r="A10" s="11" t="s">
        <v>244</v>
      </c>
      <c r="B10" s="11" t="s">
        <v>245</v>
      </c>
      <c r="C10" s="11" t="s">
        <v>22</v>
      </c>
      <c r="D10" s="11">
        <v>14</v>
      </c>
      <c r="E10" s="11">
        <v>35</v>
      </c>
      <c r="F10" s="12" t="s">
        <v>23</v>
      </c>
      <c r="G10" s="11">
        <f t="shared" si="0"/>
        <v>0</v>
      </c>
      <c r="H10" s="13">
        <f>VLOOKUP($D10,'722講義室'!$B$2:$F$34,2,FALSE)</f>
        <v>0</v>
      </c>
      <c r="I10" s="11">
        <f>VLOOKUP($D10,'722講義室'!$B$2:$F$34,3,FALSE)</f>
        <v>0</v>
      </c>
      <c r="J10" s="11">
        <f>VLOOKUP($D10,'722講義室'!$B$2:$F$34,4,FALSE)</f>
        <v>0</v>
      </c>
      <c r="K10" s="11">
        <f>VLOOKUP($D10,'722講義室'!$B$2:$F$34,5,FALSE)</f>
        <v>0</v>
      </c>
      <c r="L10" s="11">
        <f>VLOOKUP($A10,'722講義室'!$G$2:$I$34,3,FALSE)</f>
        <v>0</v>
      </c>
      <c r="M10" s="12">
        <f>VLOOKUP($D10,'722講義室'!$B$2:$J$34,9,FALSE)</f>
        <v>0</v>
      </c>
      <c r="N10" s="14">
        <f t="shared" si="1"/>
        <v>0</v>
      </c>
      <c r="O10" s="13" cm="1">
        <f t="array" ref="O10">_xlfn.LET(
  _xlpm.t, TIME(0, INT($H10/100), MOD($H10,100)),
  _xlfn.IFS(
    AND(_xlpm.t&gt;=TIME(0,7,1),  _xlpm.t&lt;=TIME(0,8,19)), 1,
    AND(_xlpm.t&gt;=TIME(0,6,1),  _xlpm.t&lt;=TIME(0,7,0)),  0.8,
    AND(_xlpm.t&gt;=TIME(0,8,20), _xlpm.t&lt;=TIME(0,8,59)), 0.8,
    AND(_xlpm.t&gt;=TIME(0,5,1),  _xlpm.t&lt;=TIME(0,6,0)),  0.5,
    AND(_xlpm.t&gt;=TIME(0,9,0),  _xlpm.t&lt;=TIME(0,9,59)), 0.5,
    TRUE, 0.3
  )
)</f>
        <v>0.3</v>
      </c>
      <c r="P10" s="11">
        <f t="shared" si="2"/>
        <v>0</v>
      </c>
      <c r="Q10" s="11">
        <f t="shared" si="3"/>
        <v>0</v>
      </c>
      <c r="R10" s="11">
        <f t="shared" si="4"/>
        <v>0</v>
      </c>
      <c r="S10" s="11">
        <f t="shared" si="5"/>
        <v>0</v>
      </c>
      <c r="T10" s="11">
        <f t="shared" si="6"/>
        <v>0</v>
      </c>
    </row>
    <row r="11" spans="1:20">
      <c r="A11" s="11" t="s">
        <v>88</v>
      </c>
      <c r="B11" s="11" t="s">
        <v>89</v>
      </c>
      <c r="C11" s="11" t="s">
        <v>22</v>
      </c>
      <c r="D11" s="11">
        <v>32</v>
      </c>
      <c r="E11" s="11">
        <v>30</v>
      </c>
      <c r="F11" s="12" t="s">
        <v>23</v>
      </c>
      <c r="G11" s="11">
        <f t="shared" si="0"/>
        <v>0</v>
      </c>
      <c r="H11" s="13">
        <f>VLOOKUP($D11,'722講義室'!$B$2:$F$34,2,FALSE)</f>
        <v>0</v>
      </c>
      <c r="I11" s="11">
        <f>VLOOKUP($D11,'722講義室'!$B$2:$F$34,3,FALSE)</f>
        <v>0</v>
      </c>
      <c r="J11" s="11">
        <f>VLOOKUP($D11,'722講義室'!$B$2:$F$34,4,FALSE)</f>
        <v>0</v>
      </c>
      <c r="K11" s="11">
        <f>VLOOKUP($D11,'722講義室'!$B$2:$F$34,5,FALSE)</f>
        <v>0</v>
      </c>
      <c r="L11" s="11">
        <f>VLOOKUP($A11,'722講義室'!$G$2:$I$34,3,FALSE)</f>
        <v>0</v>
      </c>
      <c r="M11" s="12">
        <f>VLOOKUP($D11,'722講義室'!$B$2:$J$34,9,FALSE)</f>
        <v>0</v>
      </c>
      <c r="N11" s="14">
        <f t="shared" si="1"/>
        <v>0</v>
      </c>
      <c r="O11" s="13" cm="1">
        <f t="array" ref="O11">_xlfn.LET(
  _xlpm.t, TIME(0, INT($H11/100), MOD($H11,100)),
  _xlfn.IFS(
    AND(_xlpm.t&gt;=TIME(0,7,1),  _xlpm.t&lt;=TIME(0,8,19)), 1,
    AND(_xlpm.t&gt;=TIME(0,6,1),  _xlpm.t&lt;=TIME(0,7,0)),  0.8,
    AND(_xlpm.t&gt;=TIME(0,8,20), _xlpm.t&lt;=TIME(0,8,59)), 0.8,
    AND(_xlpm.t&gt;=TIME(0,5,1),  _xlpm.t&lt;=TIME(0,6,0)),  0.5,
    AND(_xlpm.t&gt;=TIME(0,9,0),  _xlpm.t&lt;=TIME(0,9,59)), 0.5,
    TRUE, 0.3
  )
)</f>
        <v>0.3</v>
      </c>
      <c r="P11" s="11">
        <f t="shared" si="2"/>
        <v>0</v>
      </c>
      <c r="Q11" s="11">
        <f t="shared" si="3"/>
        <v>0</v>
      </c>
      <c r="R11" s="11">
        <f t="shared" si="4"/>
        <v>0</v>
      </c>
      <c r="S11" s="11">
        <f t="shared" si="5"/>
        <v>0</v>
      </c>
      <c r="T11" s="11">
        <f t="shared" si="6"/>
        <v>0</v>
      </c>
    </row>
    <row r="12" spans="1:20">
      <c r="A12" s="11" t="s">
        <v>120</v>
      </c>
      <c r="B12" s="11" t="s">
        <v>121</v>
      </c>
      <c r="C12" s="11" t="s">
        <v>22</v>
      </c>
      <c r="D12" s="11">
        <v>32</v>
      </c>
      <c r="E12" s="11">
        <v>30</v>
      </c>
      <c r="F12" s="12" t="s">
        <v>23</v>
      </c>
      <c r="G12" s="11">
        <f t="shared" si="0"/>
        <v>0</v>
      </c>
      <c r="H12" s="13">
        <f>VLOOKUP($D12,'722講義室'!$B$2:$F$34,2,FALSE)</f>
        <v>0</v>
      </c>
      <c r="I12" s="11">
        <f>VLOOKUP($D12,'722講義室'!$B$2:$F$34,3,FALSE)</f>
        <v>0</v>
      </c>
      <c r="J12" s="11">
        <f>VLOOKUP($D12,'722講義室'!$B$2:$F$34,4,FALSE)</f>
        <v>0</v>
      </c>
      <c r="K12" s="11">
        <f>VLOOKUP($D12,'722講義室'!$B$2:$F$34,5,FALSE)</f>
        <v>0</v>
      </c>
      <c r="L12" s="11">
        <f>VLOOKUP($A12,'722講義室'!$G$2:$I$34,3,FALSE)</f>
        <v>0</v>
      </c>
      <c r="M12" s="12">
        <f>VLOOKUP($D12,'722講義室'!$B$2:$J$34,9,FALSE)</f>
        <v>0</v>
      </c>
      <c r="N12" s="14">
        <f t="shared" si="1"/>
        <v>0</v>
      </c>
      <c r="O12" s="13" cm="1">
        <f t="array" ref="O12">_xlfn.LET(
  _xlpm.t, TIME(0, INT($H12/100), MOD($H12,100)),
  _xlfn.IFS(
    AND(_xlpm.t&gt;=TIME(0,7,1),  _xlpm.t&lt;=TIME(0,8,19)), 1,
    AND(_xlpm.t&gt;=TIME(0,6,1),  _xlpm.t&lt;=TIME(0,7,0)),  0.8,
    AND(_xlpm.t&gt;=TIME(0,8,20), _xlpm.t&lt;=TIME(0,8,59)), 0.8,
    AND(_xlpm.t&gt;=TIME(0,5,1),  _xlpm.t&lt;=TIME(0,6,0)),  0.5,
    AND(_xlpm.t&gt;=TIME(0,9,0),  _xlpm.t&lt;=TIME(0,9,59)), 0.5,
    TRUE, 0.3
  )
)</f>
        <v>0.3</v>
      </c>
      <c r="P12" s="11">
        <f t="shared" si="2"/>
        <v>0</v>
      </c>
      <c r="Q12" s="11">
        <f t="shared" si="3"/>
        <v>0</v>
      </c>
      <c r="R12" s="11">
        <f t="shared" si="4"/>
        <v>0</v>
      </c>
      <c r="S12" s="11">
        <f t="shared" si="5"/>
        <v>0</v>
      </c>
      <c r="T12" s="11">
        <f t="shared" si="6"/>
        <v>0</v>
      </c>
    </row>
    <row r="13" spans="1:20">
      <c r="A13" s="11" t="s">
        <v>198</v>
      </c>
      <c r="B13" s="11" t="s">
        <v>199</v>
      </c>
      <c r="C13" s="11" t="s">
        <v>22</v>
      </c>
      <c r="D13" s="11">
        <v>32</v>
      </c>
      <c r="E13" s="11">
        <v>30</v>
      </c>
      <c r="F13" s="12" t="s">
        <v>23</v>
      </c>
      <c r="G13" s="11">
        <f t="shared" si="0"/>
        <v>0</v>
      </c>
      <c r="H13" s="13">
        <f>VLOOKUP($D13,'722講義室'!$B$2:$F$34,2,FALSE)</f>
        <v>0</v>
      </c>
      <c r="I13" s="11">
        <f>VLOOKUP($D13,'722講義室'!$B$2:$F$34,3,FALSE)</f>
        <v>0</v>
      </c>
      <c r="J13" s="11">
        <f>VLOOKUP($D13,'722講義室'!$B$2:$F$34,4,FALSE)</f>
        <v>0</v>
      </c>
      <c r="K13" s="11">
        <f>VLOOKUP($D13,'722講義室'!$B$2:$F$34,5,FALSE)</f>
        <v>0</v>
      </c>
      <c r="L13" s="11">
        <f>VLOOKUP($A13,'722講義室'!$G$2:$I$34,3,FALSE)</f>
        <v>0</v>
      </c>
      <c r="M13" s="12">
        <f>VLOOKUP($D13,'722講義室'!$B$2:$J$34,9,FALSE)</f>
        <v>0</v>
      </c>
      <c r="N13" s="14">
        <f t="shared" si="1"/>
        <v>0</v>
      </c>
      <c r="O13" s="13" cm="1">
        <f t="array" ref="O13">_xlfn.LET(
  _xlpm.t, TIME(0, INT($H13/100), MOD($H13,100)),
  _xlfn.IFS(
    AND(_xlpm.t&gt;=TIME(0,7,1),  _xlpm.t&lt;=TIME(0,8,19)), 1,
    AND(_xlpm.t&gt;=TIME(0,6,1),  _xlpm.t&lt;=TIME(0,7,0)),  0.8,
    AND(_xlpm.t&gt;=TIME(0,8,20), _xlpm.t&lt;=TIME(0,8,59)), 0.8,
    AND(_xlpm.t&gt;=TIME(0,5,1),  _xlpm.t&lt;=TIME(0,6,0)),  0.5,
    AND(_xlpm.t&gt;=TIME(0,9,0),  _xlpm.t&lt;=TIME(0,9,59)), 0.5,
    TRUE, 0.3
  )
)</f>
        <v>0.3</v>
      </c>
      <c r="P13" s="11">
        <f t="shared" si="2"/>
        <v>0</v>
      </c>
      <c r="Q13" s="11">
        <f t="shared" si="3"/>
        <v>0</v>
      </c>
      <c r="R13" s="11">
        <f t="shared" si="4"/>
        <v>0</v>
      </c>
      <c r="S13" s="11">
        <f t="shared" si="5"/>
        <v>0</v>
      </c>
      <c r="T13" s="11">
        <f t="shared" si="6"/>
        <v>0</v>
      </c>
    </row>
    <row r="14" spans="1:20">
      <c r="A14" s="11" t="s">
        <v>136</v>
      </c>
      <c r="B14" s="11" t="s">
        <v>137</v>
      </c>
      <c r="C14" s="11" t="s">
        <v>22</v>
      </c>
      <c r="D14" s="11">
        <v>25</v>
      </c>
      <c r="E14" s="11">
        <v>27</v>
      </c>
      <c r="F14" s="12" t="s">
        <v>23</v>
      </c>
      <c r="G14" s="11">
        <f t="shared" si="0"/>
        <v>0</v>
      </c>
      <c r="H14" s="13">
        <f>VLOOKUP($D14,'722講義室'!$B$2:$F$34,2,FALSE)</f>
        <v>0</v>
      </c>
      <c r="I14" s="11">
        <f>VLOOKUP($D14,'722講義室'!$B$2:$F$34,3,FALSE)</f>
        <v>0</v>
      </c>
      <c r="J14" s="11">
        <f>VLOOKUP($D14,'722講義室'!$B$2:$F$34,4,FALSE)</f>
        <v>0</v>
      </c>
      <c r="K14" s="11">
        <f>VLOOKUP($D14,'722講義室'!$B$2:$F$34,5,FALSE)</f>
        <v>0</v>
      </c>
      <c r="L14" s="11">
        <f>VLOOKUP($A14,'722講義室'!$G$2:$I$34,3,FALSE)</f>
        <v>0</v>
      </c>
      <c r="M14" s="12">
        <f>VLOOKUP($D14,'722講義室'!$B$2:$J$34,9,FALSE)</f>
        <v>0</v>
      </c>
      <c r="N14" s="14">
        <f t="shared" si="1"/>
        <v>0</v>
      </c>
      <c r="O14" s="13" cm="1">
        <f t="array" ref="O14">_xlfn.LET(
  _xlpm.t, TIME(0, INT($H14/100), MOD($H14,100)),
  _xlfn.IFS(
    AND(_xlpm.t&gt;=TIME(0,7,1),  _xlpm.t&lt;=TIME(0,8,19)), 1,
    AND(_xlpm.t&gt;=TIME(0,6,1),  _xlpm.t&lt;=TIME(0,7,0)),  0.8,
    AND(_xlpm.t&gt;=TIME(0,8,20), _xlpm.t&lt;=TIME(0,8,59)), 0.8,
    AND(_xlpm.t&gt;=TIME(0,5,1),  _xlpm.t&lt;=TIME(0,6,0)),  0.5,
    AND(_xlpm.t&gt;=TIME(0,9,0),  _xlpm.t&lt;=TIME(0,9,59)), 0.5,
    TRUE, 0.3
  )
)</f>
        <v>0.3</v>
      </c>
      <c r="P14" s="11">
        <f t="shared" si="2"/>
        <v>0</v>
      </c>
      <c r="Q14" s="11">
        <f t="shared" si="3"/>
        <v>0</v>
      </c>
      <c r="R14" s="11">
        <f t="shared" si="4"/>
        <v>0</v>
      </c>
      <c r="S14" s="11">
        <f t="shared" si="5"/>
        <v>0</v>
      </c>
      <c r="T14" s="11">
        <f t="shared" si="6"/>
        <v>0</v>
      </c>
    </row>
    <row r="15" spans="1:20">
      <c r="A15" s="11" t="s">
        <v>230</v>
      </c>
      <c r="B15" s="11" t="s">
        <v>231</v>
      </c>
      <c r="C15" s="11" t="s">
        <v>22</v>
      </c>
      <c r="D15" s="11">
        <v>25</v>
      </c>
      <c r="E15" s="11">
        <v>27</v>
      </c>
      <c r="F15" s="12" t="s">
        <v>23</v>
      </c>
      <c r="G15" s="11">
        <f t="shared" si="0"/>
        <v>0</v>
      </c>
      <c r="H15" s="13">
        <f>VLOOKUP($D15,'722講義室'!$B$2:$F$34,2,FALSE)</f>
        <v>0</v>
      </c>
      <c r="I15" s="11">
        <f>VLOOKUP($D15,'722講義室'!$B$2:$F$34,3,FALSE)</f>
        <v>0</v>
      </c>
      <c r="J15" s="11">
        <f>VLOOKUP($D15,'722講義室'!$B$2:$F$34,4,FALSE)</f>
        <v>0</v>
      </c>
      <c r="K15" s="11">
        <f>VLOOKUP($D15,'722講義室'!$B$2:$F$34,5,FALSE)</f>
        <v>0</v>
      </c>
      <c r="L15" s="11">
        <f>VLOOKUP($A15,'722講義室'!$G$2:$I$34,3,FALSE)</f>
        <v>0</v>
      </c>
      <c r="M15" s="12">
        <f>VLOOKUP($D15,'722講義室'!$B$2:$J$34,9,FALSE)</f>
        <v>0</v>
      </c>
      <c r="N15" s="14">
        <f t="shared" si="1"/>
        <v>0</v>
      </c>
      <c r="O15" s="13" cm="1">
        <f t="array" ref="O15">_xlfn.LET(
  _xlpm.t, TIME(0, INT($H15/100), MOD($H15,100)),
  _xlfn.IFS(
    AND(_xlpm.t&gt;=TIME(0,7,1),  _xlpm.t&lt;=TIME(0,8,19)), 1,
    AND(_xlpm.t&gt;=TIME(0,6,1),  _xlpm.t&lt;=TIME(0,7,0)),  0.8,
    AND(_xlpm.t&gt;=TIME(0,8,20), _xlpm.t&lt;=TIME(0,8,59)), 0.8,
    AND(_xlpm.t&gt;=TIME(0,5,1),  _xlpm.t&lt;=TIME(0,6,0)),  0.5,
    AND(_xlpm.t&gt;=TIME(0,9,0),  _xlpm.t&lt;=TIME(0,9,59)), 0.5,
    TRUE, 0.3
  )
)</f>
        <v>0.3</v>
      </c>
      <c r="P15" s="11">
        <f t="shared" si="2"/>
        <v>0</v>
      </c>
      <c r="Q15" s="11">
        <f t="shared" si="3"/>
        <v>0</v>
      </c>
      <c r="R15" s="11">
        <f t="shared" si="4"/>
        <v>0</v>
      </c>
      <c r="S15" s="11">
        <f t="shared" si="5"/>
        <v>0</v>
      </c>
      <c r="T15" s="11">
        <f t="shared" si="6"/>
        <v>0</v>
      </c>
    </row>
    <row r="16" spans="1:20">
      <c r="A16" s="11" t="s">
        <v>238</v>
      </c>
      <c r="B16" s="11" t="s">
        <v>239</v>
      </c>
      <c r="C16" s="11" t="s">
        <v>22</v>
      </c>
      <c r="D16" s="11">
        <v>25</v>
      </c>
      <c r="E16" s="11">
        <v>27</v>
      </c>
      <c r="F16" s="12" t="s">
        <v>23</v>
      </c>
      <c r="G16" s="11">
        <f t="shared" si="0"/>
        <v>0</v>
      </c>
      <c r="H16" s="13">
        <f>VLOOKUP($D16,'722講義室'!$B$2:$F$34,2,FALSE)</f>
        <v>0</v>
      </c>
      <c r="I16" s="11">
        <f>VLOOKUP($D16,'722講義室'!$B$2:$F$34,3,FALSE)</f>
        <v>0</v>
      </c>
      <c r="J16" s="11">
        <f>VLOOKUP($D16,'722講義室'!$B$2:$F$34,4,FALSE)</f>
        <v>0</v>
      </c>
      <c r="K16" s="11">
        <f>VLOOKUP($D16,'722講義室'!$B$2:$F$34,5,FALSE)</f>
        <v>0</v>
      </c>
      <c r="L16" s="11">
        <f>VLOOKUP($A16,'722講義室'!$G$2:$I$34,3,FALSE)</f>
        <v>0</v>
      </c>
      <c r="M16" s="12">
        <f>VLOOKUP($D16,'722講義室'!$B$2:$J$34,9,FALSE)</f>
        <v>0</v>
      </c>
      <c r="N16" s="14">
        <f t="shared" si="1"/>
        <v>0</v>
      </c>
      <c r="O16" s="13" cm="1">
        <f t="array" ref="O16">_xlfn.LET(
  _xlpm.t, TIME(0, INT($H16/100), MOD($H16,100)),
  _xlfn.IFS(
    AND(_xlpm.t&gt;=TIME(0,7,1),  _xlpm.t&lt;=TIME(0,8,19)), 1,
    AND(_xlpm.t&gt;=TIME(0,6,1),  _xlpm.t&lt;=TIME(0,7,0)),  0.8,
    AND(_xlpm.t&gt;=TIME(0,8,20), _xlpm.t&lt;=TIME(0,8,59)), 0.8,
    AND(_xlpm.t&gt;=TIME(0,5,1),  _xlpm.t&lt;=TIME(0,6,0)),  0.5,
    AND(_xlpm.t&gt;=TIME(0,9,0),  _xlpm.t&lt;=TIME(0,9,59)), 0.5,
    TRUE, 0.3
  )
)</f>
        <v>0.3</v>
      </c>
      <c r="P16" s="11">
        <f t="shared" si="2"/>
        <v>0</v>
      </c>
      <c r="Q16" s="11">
        <f t="shared" si="3"/>
        <v>0</v>
      </c>
      <c r="R16" s="11">
        <f t="shared" si="4"/>
        <v>0</v>
      </c>
      <c r="S16" s="11">
        <f t="shared" si="5"/>
        <v>0</v>
      </c>
      <c r="T16" s="11">
        <f t="shared" si="6"/>
        <v>0</v>
      </c>
    </row>
    <row r="17" spans="1:20">
      <c r="A17" s="11" t="s">
        <v>94</v>
      </c>
      <c r="B17" s="11" t="s">
        <v>95</v>
      </c>
      <c r="C17" s="11" t="s">
        <v>22</v>
      </c>
      <c r="D17" s="11">
        <v>24</v>
      </c>
      <c r="E17" s="11">
        <v>22</v>
      </c>
      <c r="F17" s="12" t="s">
        <v>23</v>
      </c>
      <c r="G17" s="11">
        <f t="shared" si="0"/>
        <v>0</v>
      </c>
      <c r="H17" s="13">
        <f>VLOOKUP($D17,'722講義室'!$B$2:$F$34,2,FALSE)</f>
        <v>0</v>
      </c>
      <c r="I17" s="11">
        <f>VLOOKUP($D17,'722講義室'!$B$2:$F$34,3,FALSE)</f>
        <v>0</v>
      </c>
      <c r="J17" s="11">
        <f>VLOOKUP($D17,'722講義室'!$B$2:$F$34,4,FALSE)</f>
        <v>0</v>
      </c>
      <c r="K17" s="11">
        <f>VLOOKUP($D17,'722講義室'!$B$2:$F$34,5,FALSE)</f>
        <v>0</v>
      </c>
      <c r="L17" s="11">
        <f>VLOOKUP($A17,'722講義室'!$G$2:$I$34,3,FALSE)</f>
        <v>0</v>
      </c>
      <c r="M17" s="12">
        <f>VLOOKUP($D17,'722講義室'!$B$2:$J$34,9,FALSE)</f>
        <v>0</v>
      </c>
      <c r="N17" s="14">
        <f t="shared" si="1"/>
        <v>0</v>
      </c>
      <c r="O17" s="13" cm="1">
        <f t="array" ref="O17">_xlfn.LET(
  _xlpm.t, TIME(0, INT($H17/100), MOD($H17,100)),
  _xlfn.IFS(
    AND(_xlpm.t&gt;=TIME(0,7,1),  _xlpm.t&lt;=TIME(0,8,19)), 1,
    AND(_xlpm.t&gt;=TIME(0,6,1),  _xlpm.t&lt;=TIME(0,7,0)),  0.8,
    AND(_xlpm.t&gt;=TIME(0,8,20), _xlpm.t&lt;=TIME(0,8,59)), 0.8,
    AND(_xlpm.t&gt;=TIME(0,5,1),  _xlpm.t&lt;=TIME(0,6,0)),  0.5,
    AND(_xlpm.t&gt;=TIME(0,9,0),  _xlpm.t&lt;=TIME(0,9,59)), 0.5,
    TRUE, 0.3
  )
)</f>
        <v>0.3</v>
      </c>
      <c r="P17" s="11">
        <f t="shared" si="2"/>
        <v>0</v>
      </c>
      <c r="Q17" s="11">
        <f t="shared" si="3"/>
        <v>0</v>
      </c>
      <c r="R17" s="11">
        <f t="shared" si="4"/>
        <v>0</v>
      </c>
      <c r="S17" s="11">
        <f t="shared" si="5"/>
        <v>0</v>
      </c>
      <c r="T17" s="11">
        <f t="shared" si="6"/>
        <v>0</v>
      </c>
    </row>
    <row r="18" spans="1:20">
      <c r="A18" s="11" t="s">
        <v>142</v>
      </c>
      <c r="B18" s="11" t="s">
        <v>143</v>
      </c>
      <c r="C18" s="11" t="s">
        <v>22</v>
      </c>
      <c r="D18" s="11">
        <v>24</v>
      </c>
      <c r="E18" s="11">
        <v>22</v>
      </c>
      <c r="F18" s="12" t="s">
        <v>23</v>
      </c>
      <c r="G18" s="11">
        <f t="shared" si="0"/>
        <v>0</v>
      </c>
      <c r="H18" s="13">
        <f>VLOOKUP($D18,'722講義室'!$B$2:$F$34,2,FALSE)</f>
        <v>0</v>
      </c>
      <c r="I18" s="11">
        <f>VLOOKUP($D18,'722講義室'!$B$2:$F$34,3,FALSE)</f>
        <v>0</v>
      </c>
      <c r="J18" s="11">
        <f>VLOOKUP($D18,'722講義室'!$B$2:$F$34,4,FALSE)</f>
        <v>0</v>
      </c>
      <c r="K18" s="11">
        <f>VLOOKUP($D18,'722講義室'!$B$2:$F$34,5,FALSE)</f>
        <v>0</v>
      </c>
      <c r="L18" s="11">
        <f>VLOOKUP($A18,'722講義室'!$G$2:$I$34,3,FALSE)</f>
        <v>0</v>
      </c>
      <c r="M18" s="12">
        <f>VLOOKUP($D18,'722講義室'!$B$2:$J$34,9,FALSE)</f>
        <v>0</v>
      </c>
      <c r="N18" s="14">
        <f t="shared" si="1"/>
        <v>0</v>
      </c>
      <c r="O18" s="13" cm="1">
        <f t="array" ref="O18">_xlfn.LET(
  _xlpm.t, TIME(0, INT($H18/100), MOD($H18,100)),
  _xlfn.IFS(
    AND(_xlpm.t&gt;=TIME(0,7,1),  _xlpm.t&lt;=TIME(0,8,19)), 1,
    AND(_xlpm.t&gt;=TIME(0,6,1),  _xlpm.t&lt;=TIME(0,7,0)),  0.8,
    AND(_xlpm.t&gt;=TIME(0,8,20), _xlpm.t&lt;=TIME(0,8,59)), 0.8,
    AND(_xlpm.t&gt;=TIME(0,5,1),  _xlpm.t&lt;=TIME(0,6,0)),  0.5,
    AND(_xlpm.t&gt;=TIME(0,9,0),  _xlpm.t&lt;=TIME(0,9,59)), 0.5,
    TRUE, 0.3
  )
)</f>
        <v>0.3</v>
      </c>
      <c r="P18" s="11">
        <f t="shared" si="2"/>
        <v>0</v>
      </c>
      <c r="Q18" s="11">
        <f t="shared" si="3"/>
        <v>0</v>
      </c>
      <c r="R18" s="11">
        <f t="shared" si="4"/>
        <v>0</v>
      </c>
      <c r="S18" s="11">
        <f t="shared" si="5"/>
        <v>0</v>
      </c>
      <c r="T18" s="11">
        <f t="shared" si="6"/>
        <v>0</v>
      </c>
    </row>
    <row r="19" spans="1:20">
      <c r="A19" s="11" t="s">
        <v>220</v>
      </c>
      <c r="B19" s="11" t="s">
        <v>221</v>
      </c>
      <c r="C19" s="11" t="s">
        <v>22</v>
      </c>
      <c r="D19" s="11">
        <v>24</v>
      </c>
      <c r="E19" s="11">
        <v>22</v>
      </c>
      <c r="F19" s="12" t="s">
        <v>23</v>
      </c>
      <c r="G19" s="11">
        <f t="shared" si="0"/>
        <v>0</v>
      </c>
      <c r="H19" s="13">
        <f>VLOOKUP($D19,'722講義室'!$B$2:$F$34,2,FALSE)</f>
        <v>0</v>
      </c>
      <c r="I19" s="11">
        <f>VLOOKUP($D19,'722講義室'!$B$2:$F$34,3,FALSE)</f>
        <v>0</v>
      </c>
      <c r="J19" s="11">
        <f>VLOOKUP($D19,'722講義室'!$B$2:$F$34,4,FALSE)</f>
        <v>0</v>
      </c>
      <c r="K19" s="11">
        <f>VLOOKUP($D19,'722講義室'!$B$2:$F$34,5,FALSE)</f>
        <v>0</v>
      </c>
      <c r="L19" s="11">
        <f>VLOOKUP($A19,'722講義室'!$G$2:$I$34,3,FALSE)</f>
        <v>0</v>
      </c>
      <c r="M19" s="12">
        <f>VLOOKUP($D19,'722講義室'!$B$2:$J$34,9,FALSE)</f>
        <v>0</v>
      </c>
      <c r="N19" s="14">
        <f t="shared" si="1"/>
        <v>0</v>
      </c>
      <c r="O19" s="13" cm="1">
        <f t="array" ref="O19">_xlfn.LET(
  _xlpm.t, TIME(0, INT($H19/100), MOD($H19,100)),
  _xlfn.IFS(
    AND(_xlpm.t&gt;=TIME(0,7,1),  _xlpm.t&lt;=TIME(0,8,19)), 1,
    AND(_xlpm.t&gt;=TIME(0,6,1),  _xlpm.t&lt;=TIME(0,7,0)),  0.8,
    AND(_xlpm.t&gt;=TIME(0,8,20), _xlpm.t&lt;=TIME(0,8,59)), 0.8,
    AND(_xlpm.t&gt;=TIME(0,5,1),  _xlpm.t&lt;=TIME(0,6,0)),  0.5,
    AND(_xlpm.t&gt;=TIME(0,9,0),  _xlpm.t&lt;=TIME(0,9,59)), 0.5,
    TRUE, 0.3
  )
)</f>
        <v>0.3</v>
      </c>
      <c r="P19" s="11">
        <f t="shared" si="2"/>
        <v>0</v>
      </c>
      <c r="Q19" s="11">
        <f t="shared" si="3"/>
        <v>0</v>
      </c>
      <c r="R19" s="11">
        <f t="shared" si="4"/>
        <v>0</v>
      </c>
      <c r="S19" s="11">
        <f t="shared" si="5"/>
        <v>0</v>
      </c>
      <c r="T19" s="11">
        <f t="shared" si="6"/>
        <v>0</v>
      </c>
    </row>
    <row r="20" spans="1:20">
      <c r="A20" s="11" t="s">
        <v>98</v>
      </c>
      <c r="B20" s="11" t="s">
        <v>99</v>
      </c>
      <c r="C20" s="11" t="s">
        <v>22</v>
      </c>
      <c r="D20" s="11">
        <v>1</v>
      </c>
      <c r="E20" s="11">
        <v>19</v>
      </c>
      <c r="F20" s="12" t="s">
        <v>23</v>
      </c>
      <c r="G20" s="11">
        <f t="shared" si="0"/>
        <v>0</v>
      </c>
      <c r="H20" s="13">
        <f>VLOOKUP($D20,'722講義室'!$B$2:$F$34,2,FALSE)</f>
        <v>0</v>
      </c>
      <c r="I20" s="11">
        <f>VLOOKUP($D20,'722講義室'!$B$2:$F$34,3,FALSE)</f>
        <v>0</v>
      </c>
      <c r="J20" s="11">
        <f>VLOOKUP($D20,'722講義室'!$B$2:$F$34,4,FALSE)</f>
        <v>0</v>
      </c>
      <c r="K20" s="11">
        <f>VLOOKUP($D20,'722講義室'!$B$2:$F$34,5,FALSE)</f>
        <v>0</v>
      </c>
      <c r="L20" s="11">
        <f>VLOOKUP($A20,'722講義室'!$G$2:$I$34,3,FALSE)</f>
        <v>0</v>
      </c>
      <c r="M20" s="12">
        <f>VLOOKUP($D20,'722講義室'!$B$2:$J$34,9,FALSE)</f>
        <v>0</v>
      </c>
      <c r="N20" s="14">
        <f t="shared" si="1"/>
        <v>0</v>
      </c>
      <c r="O20" s="13" cm="1">
        <f t="array" ref="O20">_xlfn.LET(
  _xlpm.t, TIME(0, INT($H20/100), MOD($H20,100)),
  _xlfn.IFS(
    AND(_xlpm.t&gt;=TIME(0,7,1),  _xlpm.t&lt;=TIME(0,8,19)), 1,
    AND(_xlpm.t&gt;=TIME(0,6,1),  _xlpm.t&lt;=TIME(0,7,0)),  0.8,
    AND(_xlpm.t&gt;=TIME(0,8,20), _xlpm.t&lt;=TIME(0,8,59)), 0.8,
    AND(_xlpm.t&gt;=TIME(0,5,1),  _xlpm.t&lt;=TIME(0,6,0)),  0.5,
    AND(_xlpm.t&gt;=TIME(0,9,0),  _xlpm.t&lt;=TIME(0,9,59)), 0.5,
    TRUE, 0.3
  )
)</f>
        <v>0.3</v>
      </c>
      <c r="P20" s="11">
        <f t="shared" si="2"/>
        <v>0</v>
      </c>
      <c r="Q20" s="11">
        <f t="shared" si="3"/>
        <v>0</v>
      </c>
      <c r="R20" s="11">
        <f t="shared" si="4"/>
        <v>0</v>
      </c>
      <c r="S20" s="11">
        <f t="shared" si="5"/>
        <v>0</v>
      </c>
      <c r="T20" s="11">
        <f t="shared" si="6"/>
        <v>0</v>
      </c>
    </row>
    <row r="21" spans="1:20">
      <c r="A21" s="11" t="s">
        <v>102</v>
      </c>
      <c r="B21" s="11" t="s">
        <v>103</v>
      </c>
      <c r="C21" s="11" t="s">
        <v>22</v>
      </c>
      <c r="D21" s="11">
        <v>1</v>
      </c>
      <c r="E21" s="11">
        <v>19</v>
      </c>
      <c r="F21" s="12" t="s">
        <v>23</v>
      </c>
      <c r="G21" s="11">
        <f t="shared" si="0"/>
        <v>0</v>
      </c>
      <c r="H21" s="13">
        <f>VLOOKUP($D21,'722講義室'!$B$2:$F$34,2,FALSE)</f>
        <v>0</v>
      </c>
      <c r="I21" s="11">
        <f>VLOOKUP($D21,'722講義室'!$B$2:$F$34,3,FALSE)</f>
        <v>0</v>
      </c>
      <c r="J21" s="11">
        <f>VLOOKUP($D21,'722講義室'!$B$2:$F$34,4,FALSE)</f>
        <v>0</v>
      </c>
      <c r="K21" s="11">
        <f>VLOOKUP($D21,'722講義室'!$B$2:$F$34,5,FALSE)</f>
        <v>0</v>
      </c>
      <c r="L21" s="11">
        <f>VLOOKUP($A21,'722講義室'!$G$2:$I$34,3,FALSE)</f>
        <v>0</v>
      </c>
      <c r="M21" s="12">
        <f>VLOOKUP($D21,'722講義室'!$B$2:$J$34,9,FALSE)</f>
        <v>0</v>
      </c>
      <c r="N21" s="14">
        <f t="shared" si="1"/>
        <v>0</v>
      </c>
      <c r="O21" s="13" cm="1">
        <f t="array" ref="O21">_xlfn.LET(
  _xlpm.t, TIME(0, INT($H21/100), MOD($H21,100)),
  _xlfn.IFS(
    AND(_xlpm.t&gt;=TIME(0,7,1),  _xlpm.t&lt;=TIME(0,8,19)), 1,
    AND(_xlpm.t&gt;=TIME(0,6,1),  _xlpm.t&lt;=TIME(0,7,0)),  0.8,
    AND(_xlpm.t&gt;=TIME(0,8,20), _xlpm.t&lt;=TIME(0,8,59)), 0.8,
    AND(_xlpm.t&gt;=TIME(0,5,1),  _xlpm.t&lt;=TIME(0,6,0)),  0.5,
    AND(_xlpm.t&gt;=TIME(0,9,0),  _xlpm.t&lt;=TIME(0,9,59)), 0.5,
    TRUE, 0.3
  )
)</f>
        <v>0.3</v>
      </c>
      <c r="P21" s="11">
        <f t="shared" si="2"/>
        <v>0</v>
      </c>
      <c r="Q21" s="11">
        <f t="shared" si="3"/>
        <v>0</v>
      </c>
      <c r="R21" s="11">
        <f t="shared" si="4"/>
        <v>0</v>
      </c>
      <c r="S21" s="11">
        <f t="shared" si="5"/>
        <v>0</v>
      </c>
      <c r="T21" s="11">
        <f t="shared" si="6"/>
        <v>0</v>
      </c>
    </row>
    <row r="22" spans="1:20">
      <c r="A22" s="11" t="s">
        <v>234</v>
      </c>
      <c r="B22" s="11" t="s">
        <v>235</v>
      </c>
      <c r="C22" s="11" t="s">
        <v>22</v>
      </c>
      <c r="D22" s="11">
        <v>1</v>
      </c>
      <c r="E22" s="11">
        <v>19</v>
      </c>
      <c r="F22" s="12" t="s">
        <v>23</v>
      </c>
      <c r="G22" s="11">
        <f t="shared" si="0"/>
        <v>0</v>
      </c>
      <c r="H22" s="13">
        <f>VLOOKUP($D22,'722講義室'!$B$2:$F$34,2,FALSE)</f>
        <v>0</v>
      </c>
      <c r="I22" s="11">
        <f>VLOOKUP($D22,'722講義室'!$B$2:$F$34,3,FALSE)</f>
        <v>0</v>
      </c>
      <c r="J22" s="11">
        <f>VLOOKUP($D22,'722講義室'!$B$2:$F$34,4,FALSE)</f>
        <v>0</v>
      </c>
      <c r="K22" s="11">
        <f>VLOOKUP($D22,'722講義室'!$B$2:$F$34,5,FALSE)</f>
        <v>0</v>
      </c>
      <c r="L22" s="11">
        <f>VLOOKUP($A22,'722講義室'!$G$2:$I$34,3,FALSE)</f>
        <v>0</v>
      </c>
      <c r="M22" s="12">
        <f>VLOOKUP($D22,'722講義室'!$B$2:$J$34,9,FALSE)</f>
        <v>0</v>
      </c>
      <c r="N22" s="14">
        <f t="shared" si="1"/>
        <v>0</v>
      </c>
      <c r="O22" s="13" cm="1">
        <f t="array" ref="O22">_xlfn.LET(
  _xlpm.t, TIME(0, INT($H22/100), MOD($H22,100)),
  _xlfn.IFS(
    AND(_xlpm.t&gt;=TIME(0,7,1),  _xlpm.t&lt;=TIME(0,8,19)), 1,
    AND(_xlpm.t&gt;=TIME(0,6,1),  _xlpm.t&lt;=TIME(0,7,0)),  0.8,
    AND(_xlpm.t&gt;=TIME(0,8,20), _xlpm.t&lt;=TIME(0,8,59)), 0.8,
    AND(_xlpm.t&gt;=TIME(0,5,1),  _xlpm.t&lt;=TIME(0,6,0)),  0.5,
    AND(_xlpm.t&gt;=TIME(0,9,0),  _xlpm.t&lt;=TIME(0,9,59)), 0.5,
    TRUE, 0.3
  )
)</f>
        <v>0.3</v>
      </c>
      <c r="P22" s="11">
        <f t="shared" si="2"/>
        <v>0</v>
      </c>
      <c r="Q22" s="11">
        <f t="shared" si="3"/>
        <v>0</v>
      </c>
      <c r="R22" s="11">
        <f t="shared" si="4"/>
        <v>0</v>
      </c>
      <c r="S22" s="11">
        <f t="shared" si="5"/>
        <v>0</v>
      </c>
      <c r="T22" s="11">
        <f t="shared" si="6"/>
        <v>0</v>
      </c>
    </row>
    <row r="23" spans="1:20">
      <c r="A23" s="11" t="s">
        <v>20</v>
      </c>
      <c r="B23" s="11" t="s">
        <v>21</v>
      </c>
      <c r="C23" s="11" t="s">
        <v>22</v>
      </c>
      <c r="D23" s="11">
        <v>29</v>
      </c>
      <c r="E23" s="11">
        <v>14</v>
      </c>
      <c r="F23" s="12" t="s">
        <v>23</v>
      </c>
      <c r="G23" s="11">
        <f t="shared" si="0"/>
        <v>0</v>
      </c>
      <c r="H23" s="13">
        <f>VLOOKUP($D23,'722講義室'!$B$2:$F$34,2,FALSE)</f>
        <v>0</v>
      </c>
      <c r="I23" s="11">
        <f>VLOOKUP($D23,'722講義室'!$B$2:$F$34,3,FALSE)</f>
        <v>0</v>
      </c>
      <c r="J23" s="11">
        <f>VLOOKUP($D23,'722講義室'!$B$2:$F$34,4,FALSE)</f>
        <v>0</v>
      </c>
      <c r="K23" s="11">
        <f>VLOOKUP($D23,'722講義室'!$B$2:$F$34,5,FALSE)</f>
        <v>0</v>
      </c>
      <c r="L23" s="11">
        <f>VLOOKUP($A23,'722講義室'!$G$2:$I$34,3,FALSE)</f>
        <v>0</v>
      </c>
      <c r="M23" s="12">
        <f>VLOOKUP($D23,'722講義室'!$B$2:$J$34,9,FALSE)</f>
        <v>0</v>
      </c>
      <c r="N23" s="14">
        <f t="shared" si="1"/>
        <v>0</v>
      </c>
      <c r="O23" s="13" cm="1">
        <f t="array" ref="O23">_xlfn.LET(
  _xlpm.t, TIME(0, INT($H23/100), MOD($H23,100)),
  _xlfn.IFS(
    AND(_xlpm.t&gt;=TIME(0,7,1),  _xlpm.t&lt;=TIME(0,8,19)), 1,
    AND(_xlpm.t&gt;=TIME(0,6,1),  _xlpm.t&lt;=TIME(0,7,0)),  0.8,
    AND(_xlpm.t&gt;=TIME(0,8,20), _xlpm.t&lt;=TIME(0,8,59)), 0.8,
    AND(_xlpm.t&gt;=TIME(0,5,1),  _xlpm.t&lt;=TIME(0,6,0)),  0.5,
    AND(_xlpm.t&gt;=TIME(0,9,0),  _xlpm.t&lt;=TIME(0,9,59)), 0.5,
    TRUE, 0.3
  )
)</f>
        <v>0.3</v>
      </c>
      <c r="P23" s="11">
        <f t="shared" si="2"/>
        <v>0</v>
      </c>
      <c r="Q23" s="11">
        <f t="shared" si="3"/>
        <v>0</v>
      </c>
      <c r="R23" s="11">
        <f t="shared" si="4"/>
        <v>0</v>
      </c>
      <c r="S23" s="11">
        <f t="shared" si="5"/>
        <v>0</v>
      </c>
      <c r="T23" s="11">
        <f t="shared" si="6"/>
        <v>0</v>
      </c>
    </row>
    <row r="24" spans="1:20">
      <c r="A24" s="11" t="s">
        <v>180</v>
      </c>
      <c r="B24" s="11" t="s">
        <v>181</v>
      </c>
      <c r="C24" s="11" t="s">
        <v>22</v>
      </c>
      <c r="D24" s="11">
        <v>29</v>
      </c>
      <c r="E24" s="11">
        <v>14</v>
      </c>
      <c r="F24" s="12" t="s">
        <v>23</v>
      </c>
      <c r="G24" s="11">
        <f t="shared" si="0"/>
        <v>0</v>
      </c>
      <c r="H24" s="13">
        <f>VLOOKUP($D24,'722講義室'!$B$2:$F$34,2,FALSE)</f>
        <v>0</v>
      </c>
      <c r="I24" s="11">
        <f>VLOOKUP($D24,'722講義室'!$B$2:$F$34,3,FALSE)</f>
        <v>0</v>
      </c>
      <c r="J24" s="11">
        <f>VLOOKUP($D24,'722講義室'!$B$2:$F$34,4,FALSE)</f>
        <v>0</v>
      </c>
      <c r="K24" s="11">
        <f>VLOOKUP($D24,'722講義室'!$B$2:$F$34,5,FALSE)</f>
        <v>0</v>
      </c>
      <c r="L24" s="11">
        <f>VLOOKUP($A24,'722講義室'!$G$2:$I$34,3,FALSE)</f>
        <v>0</v>
      </c>
      <c r="M24" s="12">
        <f>VLOOKUP($D24,'722講義室'!$B$2:$J$34,9,FALSE)</f>
        <v>0</v>
      </c>
      <c r="N24" s="14">
        <f t="shared" si="1"/>
        <v>0</v>
      </c>
      <c r="O24" s="13" cm="1">
        <f t="array" ref="O24">_xlfn.LET(
  _xlpm.t, TIME(0, INT($H24/100), MOD($H24,100)),
  _xlfn.IFS(
    AND(_xlpm.t&gt;=TIME(0,7,1),  _xlpm.t&lt;=TIME(0,8,19)), 1,
    AND(_xlpm.t&gt;=TIME(0,6,1),  _xlpm.t&lt;=TIME(0,7,0)),  0.8,
    AND(_xlpm.t&gt;=TIME(0,8,20), _xlpm.t&lt;=TIME(0,8,59)), 0.8,
    AND(_xlpm.t&gt;=TIME(0,5,1),  _xlpm.t&lt;=TIME(0,6,0)),  0.5,
    AND(_xlpm.t&gt;=TIME(0,9,0),  _xlpm.t&lt;=TIME(0,9,59)), 0.5,
    TRUE, 0.3
  )
)</f>
        <v>0.3</v>
      </c>
      <c r="P24" s="11">
        <f t="shared" si="2"/>
        <v>0</v>
      </c>
      <c r="Q24" s="11">
        <f t="shared" si="3"/>
        <v>0</v>
      </c>
      <c r="R24" s="11">
        <f t="shared" si="4"/>
        <v>0</v>
      </c>
      <c r="S24" s="11">
        <f t="shared" si="5"/>
        <v>0</v>
      </c>
      <c r="T24" s="11">
        <f t="shared" si="6"/>
        <v>0</v>
      </c>
    </row>
    <row r="25" spans="1:20">
      <c r="A25" s="11" t="s">
        <v>268</v>
      </c>
      <c r="B25" s="11" t="s">
        <v>269</v>
      </c>
      <c r="C25" s="11" t="s">
        <v>22</v>
      </c>
      <c r="D25" s="11">
        <v>29</v>
      </c>
      <c r="E25" s="11">
        <v>14</v>
      </c>
      <c r="F25" s="12" t="s">
        <v>23</v>
      </c>
      <c r="G25" s="11">
        <f t="shared" si="0"/>
        <v>0</v>
      </c>
      <c r="H25" s="13">
        <f>VLOOKUP($D25,'722講義室'!$B$2:$F$34,2,FALSE)</f>
        <v>0</v>
      </c>
      <c r="I25" s="11">
        <f>VLOOKUP($D25,'722講義室'!$B$2:$F$34,3,FALSE)</f>
        <v>0</v>
      </c>
      <c r="J25" s="11">
        <f>VLOOKUP($D25,'722講義室'!$B$2:$F$34,4,FALSE)</f>
        <v>0</v>
      </c>
      <c r="K25" s="11">
        <f>VLOOKUP($D25,'722講義室'!$B$2:$F$34,5,FALSE)</f>
        <v>0</v>
      </c>
      <c r="L25" s="11">
        <f>VLOOKUP($A25,'722講義室'!$G$2:$I$34,3,FALSE)</f>
        <v>0</v>
      </c>
      <c r="M25" s="12">
        <f>VLOOKUP($D25,'722講義室'!$B$2:$J$34,9,FALSE)</f>
        <v>0</v>
      </c>
      <c r="N25" s="14">
        <f t="shared" si="1"/>
        <v>0</v>
      </c>
      <c r="O25" s="13" cm="1">
        <f t="array" ref="O25">_xlfn.LET(
  _xlpm.t, TIME(0, INT($H25/100), MOD($H25,100)),
  _xlfn.IFS(
    AND(_xlpm.t&gt;=TIME(0,7,1),  _xlpm.t&lt;=TIME(0,8,19)), 1,
    AND(_xlpm.t&gt;=TIME(0,6,1),  _xlpm.t&lt;=TIME(0,7,0)),  0.8,
    AND(_xlpm.t&gt;=TIME(0,8,20), _xlpm.t&lt;=TIME(0,8,59)), 0.8,
    AND(_xlpm.t&gt;=TIME(0,5,1),  _xlpm.t&lt;=TIME(0,6,0)),  0.5,
    AND(_xlpm.t&gt;=TIME(0,9,0),  _xlpm.t&lt;=TIME(0,9,59)), 0.5,
    TRUE, 0.3
  )
)</f>
        <v>0.3</v>
      </c>
      <c r="P25" s="11">
        <f t="shared" si="2"/>
        <v>0</v>
      </c>
      <c r="Q25" s="11">
        <f t="shared" si="3"/>
        <v>0</v>
      </c>
      <c r="R25" s="11">
        <f t="shared" si="4"/>
        <v>0</v>
      </c>
      <c r="S25" s="11">
        <f t="shared" si="5"/>
        <v>0</v>
      </c>
      <c r="T25" s="11">
        <f t="shared" si="6"/>
        <v>0</v>
      </c>
    </row>
    <row r="26" spans="1:20">
      <c r="A26" s="11" t="s">
        <v>50</v>
      </c>
      <c r="B26" s="11" t="s">
        <v>51</v>
      </c>
      <c r="C26" s="11" t="s">
        <v>22</v>
      </c>
      <c r="D26" s="11">
        <v>19</v>
      </c>
      <c r="E26" s="11">
        <v>11</v>
      </c>
      <c r="F26" s="12" t="s">
        <v>23</v>
      </c>
      <c r="G26" s="11">
        <f t="shared" si="0"/>
        <v>0</v>
      </c>
      <c r="H26" s="13">
        <f>VLOOKUP($D26,'722講義室'!$B$2:$F$34,2,FALSE)</f>
        <v>0</v>
      </c>
      <c r="I26" s="11">
        <f>VLOOKUP($D26,'722講義室'!$B$2:$F$34,3,FALSE)</f>
        <v>0</v>
      </c>
      <c r="J26" s="11">
        <f>VLOOKUP($D26,'722講義室'!$B$2:$F$34,4,FALSE)</f>
        <v>0</v>
      </c>
      <c r="K26" s="11">
        <f>VLOOKUP($D26,'722講義室'!$B$2:$F$34,5,FALSE)</f>
        <v>0</v>
      </c>
      <c r="L26" s="11">
        <f>VLOOKUP($A26,'722講義室'!$G$2:$I$34,3,FALSE)</f>
        <v>0</v>
      </c>
      <c r="M26" s="12">
        <f>VLOOKUP($D26,'722講義室'!$B$2:$J$34,9,FALSE)</f>
        <v>0</v>
      </c>
      <c r="N26" s="14">
        <f t="shared" si="1"/>
        <v>0</v>
      </c>
      <c r="O26" s="13" cm="1">
        <f t="array" ref="O26">_xlfn.LET(
  _xlpm.t, TIME(0, INT($H26/100), MOD($H26,100)),
  _xlfn.IFS(
    AND(_xlpm.t&gt;=TIME(0,7,1),  _xlpm.t&lt;=TIME(0,8,19)), 1,
    AND(_xlpm.t&gt;=TIME(0,6,1),  _xlpm.t&lt;=TIME(0,7,0)),  0.8,
    AND(_xlpm.t&gt;=TIME(0,8,20), _xlpm.t&lt;=TIME(0,8,59)), 0.8,
    AND(_xlpm.t&gt;=TIME(0,5,1),  _xlpm.t&lt;=TIME(0,6,0)),  0.5,
    AND(_xlpm.t&gt;=TIME(0,9,0),  _xlpm.t&lt;=TIME(0,9,59)), 0.5,
    TRUE, 0.3
  )
)</f>
        <v>0.3</v>
      </c>
      <c r="P26" s="11">
        <f t="shared" si="2"/>
        <v>0</v>
      </c>
      <c r="Q26" s="11">
        <f t="shared" si="3"/>
        <v>0</v>
      </c>
      <c r="R26" s="11">
        <f t="shared" si="4"/>
        <v>0</v>
      </c>
      <c r="S26" s="11">
        <f t="shared" si="5"/>
        <v>0</v>
      </c>
      <c r="T26" s="11">
        <f t="shared" si="6"/>
        <v>0</v>
      </c>
    </row>
    <row r="27" spans="1:20">
      <c r="A27" s="11" t="s">
        <v>76</v>
      </c>
      <c r="B27" s="11" t="s">
        <v>77</v>
      </c>
      <c r="C27" s="11" t="s">
        <v>22</v>
      </c>
      <c r="D27" s="11">
        <v>19</v>
      </c>
      <c r="E27" s="11">
        <v>11</v>
      </c>
      <c r="F27" s="12" t="s">
        <v>23</v>
      </c>
      <c r="G27" s="11">
        <f t="shared" si="0"/>
        <v>0</v>
      </c>
      <c r="H27" s="13">
        <f>VLOOKUP($D27,'722講義室'!$B$2:$F$34,2,FALSE)</f>
        <v>0</v>
      </c>
      <c r="I27" s="11">
        <f>VLOOKUP($D27,'722講義室'!$B$2:$F$34,3,FALSE)</f>
        <v>0</v>
      </c>
      <c r="J27" s="11">
        <f>VLOOKUP($D27,'722講義室'!$B$2:$F$34,4,FALSE)</f>
        <v>0</v>
      </c>
      <c r="K27" s="11">
        <f>VLOOKUP($D27,'722講義室'!$B$2:$F$34,5,FALSE)</f>
        <v>0</v>
      </c>
      <c r="L27" s="11">
        <f>VLOOKUP($A27,'722講義室'!$G$2:$I$34,3,FALSE)</f>
        <v>0</v>
      </c>
      <c r="M27" s="12">
        <f>VLOOKUP($D27,'722講義室'!$B$2:$J$34,9,FALSE)</f>
        <v>0</v>
      </c>
      <c r="N27" s="14">
        <f t="shared" si="1"/>
        <v>0</v>
      </c>
      <c r="O27" s="13" cm="1">
        <f t="array" ref="O27">_xlfn.LET(
  _xlpm.t, TIME(0, INT($H27/100), MOD($H27,100)),
  _xlfn.IFS(
    AND(_xlpm.t&gt;=TIME(0,7,1),  _xlpm.t&lt;=TIME(0,8,19)), 1,
    AND(_xlpm.t&gt;=TIME(0,6,1),  _xlpm.t&lt;=TIME(0,7,0)),  0.8,
    AND(_xlpm.t&gt;=TIME(0,8,20), _xlpm.t&lt;=TIME(0,8,59)), 0.8,
    AND(_xlpm.t&gt;=TIME(0,5,1),  _xlpm.t&lt;=TIME(0,6,0)),  0.5,
    AND(_xlpm.t&gt;=TIME(0,9,0),  _xlpm.t&lt;=TIME(0,9,59)), 0.5,
    TRUE, 0.3
  )
)</f>
        <v>0.3</v>
      </c>
      <c r="P27" s="11">
        <f t="shared" si="2"/>
        <v>0</v>
      </c>
      <c r="Q27" s="11">
        <f t="shared" si="3"/>
        <v>0</v>
      </c>
      <c r="R27" s="11">
        <f t="shared" si="4"/>
        <v>0</v>
      </c>
      <c r="S27" s="11">
        <f t="shared" si="5"/>
        <v>0</v>
      </c>
      <c r="T27" s="11">
        <f t="shared" si="6"/>
        <v>0</v>
      </c>
    </row>
    <row r="28" spans="1:20">
      <c r="A28" s="11" t="s">
        <v>162</v>
      </c>
      <c r="B28" s="11" t="s">
        <v>163</v>
      </c>
      <c r="C28" s="11" t="s">
        <v>22</v>
      </c>
      <c r="D28" s="11">
        <v>19</v>
      </c>
      <c r="E28" s="11">
        <v>11</v>
      </c>
      <c r="F28" s="12" t="s">
        <v>23</v>
      </c>
      <c r="G28" s="11">
        <f t="shared" si="0"/>
        <v>0</v>
      </c>
      <c r="H28" s="13">
        <f>VLOOKUP($D28,'722講義室'!$B$2:$F$34,2,FALSE)</f>
        <v>0</v>
      </c>
      <c r="I28" s="11">
        <f>VLOOKUP($D28,'722講義室'!$B$2:$F$34,3,FALSE)</f>
        <v>0</v>
      </c>
      <c r="J28" s="11">
        <f>VLOOKUP($D28,'722講義室'!$B$2:$F$34,4,FALSE)</f>
        <v>0</v>
      </c>
      <c r="K28" s="11">
        <f>VLOOKUP($D28,'722講義室'!$B$2:$F$34,5,FALSE)</f>
        <v>0</v>
      </c>
      <c r="L28" s="11">
        <f>VLOOKUP($A28,'722講義室'!$G$2:$I$34,3,FALSE)</f>
        <v>0</v>
      </c>
      <c r="M28" s="12">
        <f>VLOOKUP($D28,'722講義室'!$B$2:$J$34,9,FALSE)</f>
        <v>0</v>
      </c>
      <c r="N28" s="14">
        <f t="shared" si="1"/>
        <v>0</v>
      </c>
      <c r="O28" s="13" cm="1">
        <f t="array" ref="O28">_xlfn.LET(
  _xlpm.t, TIME(0, INT($H28/100), MOD($H28,100)),
  _xlfn.IFS(
    AND(_xlpm.t&gt;=TIME(0,7,1),  _xlpm.t&lt;=TIME(0,8,19)), 1,
    AND(_xlpm.t&gt;=TIME(0,6,1),  _xlpm.t&lt;=TIME(0,7,0)),  0.8,
    AND(_xlpm.t&gt;=TIME(0,8,20), _xlpm.t&lt;=TIME(0,8,59)), 0.8,
    AND(_xlpm.t&gt;=TIME(0,5,1),  _xlpm.t&lt;=TIME(0,6,0)),  0.5,
    AND(_xlpm.t&gt;=TIME(0,9,0),  _xlpm.t&lt;=TIME(0,9,59)), 0.5,
    TRUE, 0.3
  )
)</f>
        <v>0.3</v>
      </c>
      <c r="P28" s="11">
        <f t="shared" si="2"/>
        <v>0</v>
      </c>
      <c r="Q28" s="11">
        <f t="shared" si="3"/>
        <v>0</v>
      </c>
      <c r="R28" s="11">
        <f t="shared" si="4"/>
        <v>0</v>
      </c>
      <c r="S28" s="11">
        <f t="shared" si="5"/>
        <v>0</v>
      </c>
      <c r="T28" s="11">
        <f t="shared" si="6"/>
        <v>0</v>
      </c>
    </row>
    <row r="29" spans="1:20">
      <c r="A29" s="11" t="s">
        <v>158</v>
      </c>
      <c r="B29" s="11" t="s">
        <v>159</v>
      </c>
      <c r="C29" s="11" t="s">
        <v>22</v>
      </c>
      <c r="D29" s="11">
        <v>12</v>
      </c>
      <c r="E29" s="11">
        <v>6</v>
      </c>
      <c r="F29" s="12" t="s">
        <v>23</v>
      </c>
      <c r="G29" s="11">
        <f t="shared" si="0"/>
        <v>0</v>
      </c>
      <c r="H29" s="13">
        <f>VLOOKUP($D29,'722講義室'!$B$2:$F$34,2,FALSE)</f>
        <v>0</v>
      </c>
      <c r="I29" s="11">
        <f>VLOOKUP($D29,'722講義室'!$B$2:$F$34,3,FALSE)</f>
        <v>0</v>
      </c>
      <c r="J29" s="11">
        <f>VLOOKUP($D29,'722講義室'!$B$2:$F$34,4,FALSE)</f>
        <v>0</v>
      </c>
      <c r="K29" s="11">
        <f>VLOOKUP($D29,'722講義室'!$B$2:$F$34,5,FALSE)</f>
        <v>0</v>
      </c>
      <c r="L29" s="11">
        <f>VLOOKUP($A29,'722講義室'!$G$2:$I$34,3,FALSE)</f>
        <v>0</v>
      </c>
      <c r="M29" s="12">
        <f>VLOOKUP($D29,'722講義室'!$B$2:$J$34,9,FALSE)</f>
        <v>0</v>
      </c>
      <c r="N29" s="14">
        <f t="shared" si="1"/>
        <v>0</v>
      </c>
      <c r="O29" s="13" cm="1">
        <f t="array" ref="O29">_xlfn.LET(
  _xlpm.t, TIME(0, INT($H29/100), MOD($H29,100)),
  _xlfn.IFS(
    AND(_xlpm.t&gt;=TIME(0,7,1),  _xlpm.t&lt;=TIME(0,8,19)), 1,
    AND(_xlpm.t&gt;=TIME(0,6,1),  _xlpm.t&lt;=TIME(0,7,0)),  0.8,
    AND(_xlpm.t&gt;=TIME(0,8,20), _xlpm.t&lt;=TIME(0,8,59)), 0.8,
    AND(_xlpm.t&gt;=TIME(0,5,1),  _xlpm.t&lt;=TIME(0,6,0)),  0.5,
    AND(_xlpm.t&gt;=TIME(0,9,0),  _xlpm.t&lt;=TIME(0,9,59)), 0.5,
    TRUE, 0.3
  )
)</f>
        <v>0.3</v>
      </c>
      <c r="P29" s="11">
        <f t="shared" si="2"/>
        <v>0</v>
      </c>
      <c r="Q29" s="11">
        <f t="shared" si="3"/>
        <v>0</v>
      </c>
      <c r="R29" s="11">
        <f t="shared" si="4"/>
        <v>0</v>
      </c>
      <c r="S29" s="11">
        <f t="shared" si="5"/>
        <v>0</v>
      </c>
      <c r="T29" s="11">
        <f t="shared" si="6"/>
        <v>0</v>
      </c>
    </row>
    <row r="30" spans="1:20">
      <c r="A30" s="11" t="s">
        <v>218</v>
      </c>
      <c r="B30" s="11" t="s">
        <v>219</v>
      </c>
      <c r="C30" s="11" t="s">
        <v>22</v>
      </c>
      <c r="D30" s="11">
        <v>12</v>
      </c>
      <c r="E30" s="11">
        <v>6</v>
      </c>
      <c r="F30" s="12" t="s">
        <v>23</v>
      </c>
      <c r="G30" s="11">
        <f t="shared" si="0"/>
        <v>0</v>
      </c>
      <c r="H30" s="13">
        <f>VLOOKUP($D30,'722講義室'!$B$2:$F$34,2,FALSE)</f>
        <v>0</v>
      </c>
      <c r="I30" s="11">
        <f>VLOOKUP($D30,'722講義室'!$B$2:$F$34,3,FALSE)</f>
        <v>0</v>
      </c>
      <c r="J30" s="11">
        <f>VLOOKUP($D30,'722講義室'!$B$2:$F$34,4,FALSE)</f>
        <v>0</v>
      </c>
      <c r="K30" s="11">
        <f>VLOOKUP($D30,'722講義室'!$B$2:$F$34,5,FALSE)</f>
        <v>0</v>
      </c>
      <c r="L30" s="11">
        <f>VLOOKUP($A30,'722講義室'!$G$2:$I$34,3,FALSE)</f>
        <v>0</v>
      </c>
      <c r="M30" s="12">
        <f>VLOOKUP($D30,'722講義室'!$B$2:$J$34,9,FALSE)</f>
        <v>0</v>
      </c>
      <c r="N30" s="14">
        <f t="shared" si="1"/>
        <v>0</v>
      </c>
      <c r="O30" s="13" cm="1">
        <f t="array" ref="O30">_xlfn.LET(
  _xlpm.t, TIME(0, INT($H30/100), MOD($H30,100)),
  _xlfn.IFS(
    AND(_xlpm.t&gt;=TIME(0,7,1),  _xlpm.t&lt;=TIME(0,8,19)), 1,
    AND(_xlpm.t&gt;=TIME(0,6,1),  _xlpm.t&lt;=TIME(0,7,0)),  0.8,
    AND(_xlpm.t&gt;=TIME(0,8,20), _xlpm.t&lt;=TIME(0,8,59)), 0.8,
    AND(_xlpm.t&gt;=TIME(0,5,1),  _xlpm.t&lt;=TIME(0,6,0)),  0.5,
    AND(_xlpm.t&gt;=TIME(0,9,0),  _xlpm.t&lt;=TIME(0,9,59)), 0.5,
    TRUE, 0.3
  )
)</f>
        <v>0.3</v>
      </c>
      <c r="P30" s="11">
        <f t="shared" si="2"/>
        <v>0</v>
      </c>
      <c r="Q30" s="11">
        <f t="shared" si="3"/>
        <v>0</v>
      </c>
      <c r="R30" s="11">
        <f t="shared" si="4"/>
        <v>0</v>
      </c>
      <c r="S30" s="11">
        <f t="shared" si="5"/>
        <v>0</v>
      </c>
      <c r="T30" s="11">
        <f t="shared" si="6"/>
        <v>0</v>
      </c>
    </row>
    <row r="31" spans="1:20">
      <c r="A31" s="11" t="s">
        <v>248</v>
      </c>
      <c r="B31" s="11" t="s">
        <v>249</v>
      </c>
      <c r="C31" s="11" t="s">
        <v>22</v>
      </c>
      <c r="D31" s="11">
        <v>12</v>
      </c>
      <c r="E31" s="11">
        <v>6</v>
      </c>
      <c r="F31" s="12" t="s">
        <v>23</v>
      </c>
      <c r="G31" s="11">
        <f t="shared" si="0"/>
        <v>0</v>
      </c>
      <c r="H31" s="13">
        <f>VLOOKUP($D31,'722講義室'!$B$2:$F$34,2,FALSE)</f>
        <v>0</v>
      </c>
      <c r="I31" s="11">
        <f>VLOOKUP($D31,'722講義室'!$B$2:$F$34,3,FALSE)</f>
        <v>0</v>
      </c>
      <c r="J31" s="11">
        <f>VLOOKUP($D31,'722講義室'!$B$2:$F$34,4,FALSE)</f>
        <v>0</v>
      </c>
      <c r="K31" s="11">
        <f>VLOOKUP($D31,'722講義室'!$B$2:$F$34,5,FALSE)</f>
        <v>0</v>
      </c>
      <c r="L31" s="11">
        <f>VLOOKUP($A31,'722講義室'!$G$2:$I$34,3,FALSE)</f>
        <v>0</v>
      </c>
      <c r="M31" s="12">
        <f>VLOOKUP($D31,'722講義室'!$B$2:$J$34,9,FALSE)</f>
        <v>0</v>
      </c>
      <c r="N31" s="14">
        <f t="shared" si="1"/>
        <v>0</v>
      </c>
      <c r="O31" s="13" cm="1">
        <f t="array" ref="O31">_xlfn.LET(
  _xlpm.t, TIME(0, INT($H31/100), MOD($H31,100)),
  _xlfn.IFS(
    AND(_xlpm.t&gt;=TIME(0,7,1),  _xlpm.t&lt;=TIME(0,8,19)), 1,
    AND(_xlpm.t&gt;=TIME(0,6,1),  _xlpm.t&lt;=TIME(0,7,0)),  0.8,
    AND(_xlpm.t&gt;=TIME(0,8,20), _xlpm.t&lt;=TIME(0,8,59)), 0.8,
    AND(_xlpm.t&gt;=TIME(0,5,1),  _xlpm.t&lt;=TIME(0,6,0)),  0.5,
    AND(_xlpm.t&gt;=TIME(0,9,0),  _xlpm.t&lt;=TIME(0,9,59)), 0.5,
    TRUE, 0.3
  )
)</f>
        <v>0.3</v>
      </c>
      <c r="P31" s="11">
        <f t="shared" si="2"/>
        <v>0</v>
      </c>
      <c r="Q31" s="11">
        <f t="shared" si="3"/>
        <v>0</v>
      </c>
      <c r="R31" s="11">
        <f t="shared" si="4"/>
        <v>0</v>
      </c>
      <c r="S31" s="11">
        <f t="shared" si="5"/>
        <v>0</v>
      </c>
      <c r="T31" s="11">
        <f t="shared" si="6"/>
        <v>0</v>
      </c>
    </row>
    <row r="32" spans="1:20">
      <c r="A32" s="11" t="s">
        <v>96</v>
      </c>
      <c r="B32" s="11" t="s">
        <v>97</v>
      </c>
      <c r="C32" s="11" t="s">
        <v>22</v>
      </c>
      <c r="D32" s="11">
        <v>26</v>
      </c>
      <c r="E32" s="11">
        <v>3</v>
      </c>
      <c r="F32" s="12" t="s">
        <v>23</v>
      </c>
      <c r="G32" s="11">
        <f t="shared" si="0"/>
        <v>0</v>
      </c>
      <c r="H32" s="13">
        <f>VLOOKUP($D32,'722講義室'!$B$2:$F$34,2,FALSE)</f>
        <v>0</v>
      </c>
      <c r="I32" s="11">
        <f>VLOOKUP($D32,'722講義室'!$B$2:$F$34,3,FALSE)</f>
        <v>0</v>
      </c>
      <c r="J32" s="11">
        <f>VLOOKUP($D32,'722講義室'!$B$2:$F$34,4,FALSE)</f>
        <v>0</v>
      </c>
      <c r="K32" s="11">
        <f>VLOOKUP($D32,'722講義室'!$B$2:$F$34,5,FALSE)</f>
        <v>0</v>
      </c>
      <c r="L32" s="11">
        <f>VLOOKUP($A32,'722講義室'!$G$2:$I$34,3,FALSE)</f>
        <v>0</v>
      </c>
      <c r="M32" s="12">
        <f>VLOOKUP($D32,'722講義室'!$B$2:$J$34,9,FALSE)</f>
        <v>0</v>
      </c>
      <c r="N32" s="14">
        <f t="shared" si="1"/>
        <v>0</v>
      </c>
      <c r="O32" s="13" cm="1">
        <f t="array" ref="O32">_xlfn.LET(
  _xlpm.t, TIME(0, INT($H32/100), MOD($H32,100)),
  _xlfn.IFS(
    AND(_xlpm.t&gt;=TIME(0,7,1),  _xlpm.t&lt;=TIME(0,8,19)), 1,
    AND(_xlpm.t&gt;=TIME(0,6,1),  _xlpm.t&lt;=TIME(0,7,0)),  0.8,
    AND(_xlpm.t&gt;=TIME(0,8,20), _xlpm.t&lt;=TIME(0,8,59)), 0.8,
    AND(_xlpm.t&gt;=TIME(0,5,1),  _xlpm.t&lt;=TIME(0,6,0)),  0.5,
    AND(_xlpm.t&gt;=TIME(0,9,0),  _xlpm.t&lt;=TIME(0,9,59)), 0.5,
    TRUE, 0.3
  )
)</f>
        <v>0.3</v>
      </c>
      <c r="P32" s="11">
        <f t="shared" si="2"/>
        <v>0</v>
      </c>
      <c r="Q32" s="11">
        <f t="shared" si="3"/>
        <v>0</v>
      </c>
      <c r="R32" s="11">
        <f t="shared" si="4"/>
        <v>0</v>
      </c>
      <c r="S32" s="11">
        <f t="shared" si="5"/>
        <v>0</v>
      </c>
      <c r="T32" s="11">
        <f t="shared" si="6"/>
        <v>0</v>
      </c>
    </row>
    <row r="33" spans="1:20">
      <c r="A33" s="11" t="s">
        <v>148</v>
      </c>
      <c r="B33" s="11" t="s">
        <v>149</v>
      </c>
      <c r="C33" s="11" t="s">
        <v>22</v>
      </c>
      <c r="D33" s="11">
        <v>26</v>
      </c>
      <c r="E33" s="11">
        <v>3</v>
      </c>
      <c r="F33" s="12" t="s">
        <v>23</v>
      </c>
      <c r="G33" s="11">
        <f t="shared" si="0"/>
        <v>0</v>
      </c>
      <c r="H33" s="13">
        <f>VLOOKUP($D33,'722講義室'!$B$2:$F$34,2,FALSE)</f>
        <v>0</v>
      </c>
      <c r="I33" s="11">
        <f>VLOOKUP($D33,'722講義室'!$B$2:$F$34,3,FALSE)</f>
        <v>0</v>
      </c>
      <c r="J33" s="11">
        <f>VLOOKUP($D33,'722講義室'!$B$2:$F$34,4,FALSE)</f>
        <v>0</v>
      </c>
      <c r="K33" s="11">
        <f>VLOOKUP($D33,'722講義室'!$B$2:$F$34,5,FALSE)</f>
        <v>0</v>
      </c>
      <c r="L33" s="11">
        <f>VLOOKUP($A33,'722講義室'!$G$2:$I$34,3,FALSE)</f>
        <v>0</v>
      </c>
      <c r="M33" s="12">
        <f>VLOOKUP($D33,'722講義室'!$B$2:$J$34,9,FALSE)</f>
        <v>0</v>
      </c>
      <c r="N33" s="14">
        <f t="shared" si="1"/>
        <v>0</v>
      </c>
      <c r="O33" s="13" cm="1">
        <f t="array" ref="O33">_xlfn.LET(
  _xlpm.t, TIME(0, INT($H33/100), MOD($H33,100)),
  _xlfn.IFS(
    AND(_xlpm.t&gt;=TIME(0,7,1),  _xlpm.t&lt;=TIME(0,8,19)), 1,
    AND(_xlpm.t&gt;=TIME(0,6,1),  _xlpm.t&lt;=TIME(0,7,0)),  0.8,
    AND(_xlpm.t&gt;=TIME(0,8,20), _xlpm.t&lt;=TIME(0,8,59)), 0.8,
    AND(_xlpm.t&gt;=TIME(0,5,1),  _xlpm.t&lt;=TIME(0,6,0)),  0.5,
    AND(_xlpm.t&gt;=TIME(0,9,0),  _xlpm.t&lt;=TIME(0,9,59)), 0.5,
    TRUE, 0.3
  )
)</f>
        <v>0.3</v>
      </c>
      <c r="P33" s="11">
        <f t="shared" si="2"/>
        <v>0</v>
      </c>
      <c r="Q33" s="11">
        <f t="shared" si="3"/>
        <v>0</v>
      </c>
      <c r="R33" s="11">
        <f t="shared" si="4"/>
        <v>0</v>
      </c>
      <c r="S33" s="11">
        <f t="shared" si="5"/>
        <v>0</v>
      </c>
      <c r="T33" s="11">
        <f t="shared" si="6"/>
        <v>0</v>
      </c>
    </row>
    <row r="34" spans="1:20">
      <c r="A34" s="11" t="s">
        <v>242</v>
      </c>
      <c r="B34" s="11" t="s">
        <v>243</v>
      </c>
      <c r="C34" s="11" t="s">
        <v>22</v>
      </c>
      <c r="D34" s="11">
        <v>26</v>
      </c>
      <c r="E34" s="11">
        <v>3</v>
      </c>
      <c r="F34" s="12" t="s">
        <v>23</v>
      </c>
      <c r="G34" s="11">
        <f t="shared" ref="G34:G65" si="7">SUM($P34:$T34)*$O34</f>
        <v>0</v>
      </c>
      <c r="H34" s="13">
        <f>VLOOKUP($D34,'722講義室'!$B$2:$F$34,2,FALSE)</f>
        <v>0</v>
      </c>
      <c r="I34" s="11">
        <f>VLOOKUP($D34,'722講義室'!$B$2:$F$34,3,FALSE)</f>
        <v>0</v>
      </c>
      <c r="J34" s="11">
        <f>VLOOKUP($D34,'722講義室'!$B$2:$F$34,4,FALSE)</f>
        <v>0</v>
      </c>
      <c r="K34" s="11">
        <f>VLOOKUP($D34,'722講義室'!$B$2:$F$34,5,FALSE)</f>
        <v>0</v>
      </c>
      <c r="L34" s="11">
        <f>VLOOKUP($A34,'722講義室'!$G$2:$I$34,3,FALSE)</f>
        <v>0</v>
      </c>
      <c r="M34" s="12">
        <f>VLOOKUP($D34,'722講義室'!$B$2:$J$34,9,FALSE)</f>
        <v>0</v>
      </c>
      <c r="N34" s="14">
        <f t="shared" ref="N34:N65" si="8">TIME(0, INT($H34/100), MOD($H34,100))</f>
        <v>0</v>
      </c>
      <c r="O34" s="13" cm="1">
        <f t="array" ref="O34">_xlfn.LET(
  _xlpm.t, TIME(0, INT($H34/100), MOD($H34,100)),
  _xlfn.IFS(
    AND(_xlpm.t&gt;=TIME(0,7,1),  _xlpm.t&lt;=TIME(0,8,19)), 1,
    AND(_xlpm.t&gt;=TIME(0,6,1),  _xlpm.t&lt;=TIME(0,7,0)),  0.8,
    AND(_xlpm.t&gt;=TIME(0,8,20), _xlpm.t&lt;=TIME(0,8,59)), 0.8,
    AND(_xlpm.t&gt;=TIME(0,5,1),  _xlpm.t&lt;=TIME(0,6,0)),  0.5,
    AND(_xlpm.t&gt;=TIME(0,9,0),  _xlpm.t&lt;=TIME(0,9,59)), 0.5,
    TRUE, 0.3
  )
)</f>
        <v>0.3</v>
      </c>
      <c r="P34" s="11">
        <f t="shared" ref="P34:P65" si="9">VALUE(LEFT(I34,1))</f>
        <v>0</v>
      </c>
      <c r="Q34" s="11">
        <f t="shared" ref="Q34:Q65" si="10">VALUE(LEFT(J34,1))</f>
        <v>0</v>
      </c>
      <c r="R34" s="11">
        <f t="shared" ref="R34:R65" si="11">VALUE(LEFT(K34,1))</f>
        <v>0</v>
      </c>
      <c r="S34" s="11">
        <f t="shared" ref="S34:S65" si="12">VALUE(LEFT(L34,1))</f>
        <v>0</v>
      </c>
      <c r="T34" s="11">
        <f t="shared" ref="T34:T65" si="13">VALUE(LEFT(M34,1))</f>
        <v>0</v>
      </c>
    </row>
    <row r="35" spans="1:20">
      <c r="A35" s="11" t="s">
        <v>44</v>
      </c>
      <c r="B35" s="11" t="s">
        <v>45</v>
      </c>
      <c r="C35" s="11" t="s">
        <v>22</v>
      </c>
      <c r="D35" s="11">
        <v>10</v>
      </c>
      <c r="E35" s="11">
        <v>40</v>
      </c>
      <c r="F35" s="12" t="s">
        <v>17</v>
      </c>
      <c r="G35" s="11">
        <f t="shared" si="7"/>
        <v>0</v>
      </c>
      <c r="H35" s="13">
        <f>VLOOKUP($D35,'731講義室'!$B$2:$F$34,2,FALSE)</f>
        <v>0</v>
      </c>
      <c r="I35" s="11">
        <f>VLOOKUP($D35,'731講義室'!$B$2:$F$34,3,FALSE)</f>
        <v>0</v>
      </c>
      <c r="J35" s="11">
        <f>VLOOKUP($D35,'731講義室'!$B$2:$F$34,4,FALSE)</f>
        <v>0</v>
      </c>
      <c r="K35" s="11">
        <f>VLOOKUP($D35,'731講義室'!$B$2:$F$34,5,FALSE)</f>
        <v>0</v>
      </c>
      <c r="L35" s="11">
        <f>VLOOKUP($A35,'731講義室'!$G$2:$I$34,3,FALSE)</f>
        <v>0</v>
      </c>
      <c r="M35" s="12">
        <f>VLOOKUP($D35,'731講義室'!$B$2:$J$34,9,FALSE)</f>
        <v>0</v>
      </c>
      <c r="N35" s="14">
        <f t="shared" si="8"/>
        <v>0</v>
      </c>
      <c r="O35" s="13" cm="1">
        <f t="array" ref="O35">_xlfn.LET(
  _xlpm.t, TIME(0, INT($H35/100), MOD($H35,100)),
  _xlfn.IFS(
    AND(_xlpm.t&gt;=TIME(0,7,1),  _xlpm.t&lt;=TIME(0,8,19)), 1,
    AND(_xlpm.t&gt;=TIME(0,6,1),  _xlpm.t&lt;=TIME(0,7,0)),  0.8,
    AND(_xlpm.t&gt;=TIME(0,8,20), _xlpm.t&lt;=TIME(0,8,59)), 0.8,
    AND(_xlpm.t&gt;=TIME(0,5,1),  _xlpm.t&lt;=TIME(0,6,0)),  0.5,
    AND(_xlpm.t&gt;=TIME(0,9,0),  _xlpm.t&lt;=TIME(0,9,59)), 0.5,
    TRUE, 0.3
  )
)</f>
        <v>0.3</v>
      </c>
      <c r="P35" s="11">
        <f t="shared" si="9"/>
        <v>0</v>
      </c>
      <c r="Q35" s="11">
        <f t="shared" si="10"/>
        <v>0</v>
      </c>
      <c r="R35" s="11">
        <f t="shared" si="11"/>
        <v>0</v>
      </c>
      <c r="S35" s="11">
        <f t="shared" si="12"/>
        <v>0</v>
      </c>
      <c r="T35" s="11">
        <f t="shared" si="13"/>
        <v>0</v>
      </c>
    </row>
    <row r="36" spans="1:20">
      <c r="A36" s="11" t="s">
        <v>82</v>
      </c>
      <c r="B36" s="11" t="s">
        <v>83</v>
      </c>
      <c r="C36" s="11" t="s">
        <v>22</v>
      </c>
      <c r="D36" s="11">
        <v>10</v>
      </c>
      <c r="E36" s="11">
        <v>40</v>
      </c>
      <c r="F36" s="12" t="s">
        <v>17</v>
      </c>
      <c r="G36" s="11">
        <f t="shared" si="7"/>
        <v>0</v>
      </c>
      <c r="H36" s="13">
        <f>VLOOKUP($D36,'731講義室'!$B$2:$F$34,2,FALSE)</f>
        <v>0</v>
      </c>
      <c r="I36" s="11">
        <f>VLOOKUP($D36,'731講義室'!$B$2:$F$34,3,FALSE)</f>
        <v>0</v>
      </c>
      <c r="J36" s="11">
        <f>VLOOKUP($D36,'731講義室'!$B$2:$F$34,4,FALSE)</f>
        <v>0</v>
      </c>
      <c r="K36" s="11">
        <f>VLOOKUP($D36,'731講義室'!$B$2:$F$34,5,FALSE)</f>
        <v>0</v>
      </c>
      <c r="L36" s="11">
        <f>VLOOKUP($A36,'731講義室'!$G$2:$I$34,3,FALSE)</f>
        <v>0</v>
      </c>
      <c r="M36" s="12">
        <f>VLOOKUP($D36,'731講義室'!$B$2:$J$34,9,FALSE)</f>
        <v>0</v>
      </c>
      <c r="N36" s="14">
        <f t="shared" si="8"/>
        <v>0</v>
      </c>
      <c r="O36" s="13" cm="1">
        <f t="array" ref="O36">_xlfn.LET(
  _xlpm.t, TIME(0, INT($H36/100), MOD($H36,100)),
  _xlfn.IFS(
    AND(_xlpm.t&gt;=TIME(0,7,1),  _xlpm.t&lt;=TIME(0,8,19)), 1,
    AND(_xlpm.t&gt;=TIME(0,6,1),  _xlpm.t&lt;=TIME(0,7,0)),  0.8,
    AND(_xlpm.t&gt;=TIME(0,8,20), _xlpm.t&lt;=TIME(0,8,59)), 0.8,
    AND(_xlpm.t&gt;=TIME(0,5,1),  _xlpm.t&lt;=TIME(0,6,0)),  0.5,
    AND(_xlpm.t&gt;=TIME(0,9,0),  _xlpm.t&lt;=TIME(0,9,59)), 0.5,
    TRUE, 0.3
  )
)</f>
        <v>0.3</v>
      </c>
      <c r="P36" s="11">
        <f t="shared" si="9"/>
        <v>0</v>
      </c>
      <c r="Q36" s="11">
        <f t="shared" si="10"/>
        <v>0</v>
      </c>
      <c r="R36" s="11">
        <f t="shared" si="11"/>
        <v>0</v>
      </c>
      <c r="S36" s="11">
        <f t="shared" si="12"/>
        <v>0</v>
      </c>
      <c r="T36" s="11">
        <f t="shared" si="13"/>
        <v>0</v>
      </c>
    </row>
    <row r="37" spans="1:20">
      <c r="A37" s="11" t="s">
        <v>272</v>
      </c>
      <c r="B37" s="11" t="s">
        <v>273</v>
      </c>
      <c r="C37" s="11" t="s">
        <v>22</v>
      </c>
      <c r="D37" s="11">
        <v>10</v>
      </c>
      <c r="E37" s="11">
        <v>40</v>
      </c>
      <c r="F37" s="12" t="s">
        <v>17</v>
      </c>
      <c r="G37" s="11">
        <f t="shared" si="7"/>
        <v>0</v>
      </c>
      <c r="H37" s="13">
        <f>VLOOKUP($D37,'731講義室'!$B$2:$F$34,2,FALSE)</f>
        <v>0</v>
      </c>
      <c r="I37" s="11">
        <f>VLOOKUP($D37,'731講義室'!$B$2:$F$34,3,FALSE)</f>
        <v>0</v>
      </c>
      <c r="J37" s="11">
        <f>VLOOKUP($D37,'731講義室'!$B$2:$F$34,4,FALSE)</f>
        <v>0</v>
      </c>
      <c r="K37" s="11">
        <f>VLOOKUP($D37,'731講義室'!$B$2:$F$34,5,FALSE)</f>
        <v>0</v>
      </c>
      <c r="L37" s="11">
        <f>VLOOKUP($A37,'731講義室'!$G$2:$I$34,3,FALSE)</f>
        <v>0</v>
      </c>
      <c r="M37" s="12">
        <f>VLOOKUP($D37,'731講義室'!$B$2:$J$34,9,FALSE)</f>
        <v>0</v>
      </c>
      <c r="N37" s="14">
        <f t="shared" si="8"/>
        <v>0</v>
      </c>
      <c r="O37" s="13" cm="1">
        <f t="array" ref="O37">_xlfn.LET(
  _xlpm.t, TIME(0, INT($H37/100), MOD($H37,100)),
  _xlfn.IFS(
    AND(_xlpm.t&gt;=TIME(0,7,1),  _xlpm.t&lt;=TIME(0,8,19)), 1,
    AND(_xlpm.t&gt;=TIME(0,6,1),  _xlpm.t&lt;=TIME(0,7,0)),  0.8,
    AND(_xlpm.t&gt;=TIME(0,8,20), _xlpm.t&lt;=TIME(0,8,59)), 0.8,
    AND(_xlpm.t&gt;=TIME(0,5,1),  _xlpm.t&lt;=TIME(0,6,0)),  0.5,
    AND(_xlpm.t&gt;=TIME(0,9,0),  _xlpm.t&lt;=TIME(0,9,59)), 0.5,
    TRUE, 0.3
  )
)</f>
        <v>0.3</v>
      </c>
      <c r="P37" s="11">
        <f t="shared" si="9"/>
        <v>0</v>
      </c>
      <c r="Q37" s="11">
        <f t="shared" si="10"/>
        <v>0</v>
      </c>
      <c r="R37" s="11">
        <f t="shared" si="11"/>
        <v>0</v>
      </c>
      <c r="S37" s="11">
        <f t="shared" si="12"/>
        <v>0</v>
      </c>
      <c r="T37" s="11">
        <f t="shared" si="13"/>
        <v>0</v>
      </c>
    </row>
    <row r="38" spans="1:20">
      <c r="A38" s="11" t="s">
        <v>24</v>
      </c>
      <c r="B38" s="11" t="s">
        <v>25</v>
      </c>
      <c r="C38" s="11" t="s">
        <v>22</v>
      </c>
      <c r="D38" s="11">
        <v>37</v>
      </c>
      <c r="E38" s="11">
        <v>39</v>
      </c>
      <c r="F38" s="12" t="s">
        <v>17</v>
      </c>
      <c r="G38" s="11">
        <f t="shared" si="7"/>
        <v>0</v>
      </c>
      <c r="H38" s="13">
        <f>VLOOKUP($D38,'731講義室'!$B$2:$F$34,2,FALSE)</f>
        <v>0</v>
      </c>
      <c r="I38" s="11">
        <f>VLOOKUP($D38,'731講義室'!$B$2:$F$34,3,FALSE)</f>
        <v>0</v>
      </c>
      <c r="J38" s="11">
        <f>VLOOKUP($D38,'731講義室'!$B$2:$F$34,4,FALSE)</f>
        <v>0</v>
      </c>
      <c r="K38" s="11">
        <f>VLOOKUP($D38,'731講義室'!$B$2:$F$34,5,FALSE)</f>
        <v>0</v>
      </c>
      <c r="L38" s="11">
        <f>VLOOKUP($A38,'731講義室'!$G$2:$I$34,3,FALSE)</f>
        <v>0</v>
      </c>
      <c r="M38" s="12">
        <f>VLOOKUP($D38,'731講義室'!$B$2:$J$34,9,FALSE)</f>
        <v>0</v>
      </c>
      <c r="N38" s="14">
        <f t="shared" si="8"/>
        <v>0</v>
      </c>
      <c r="O38" s="13" cm="1">
        <f t="array" ref="O38">_xlfn.LET(
  _xlpm.t, TIME(0, INT($H38/100), MOD($H38,100)),
  _xlfn.IFS(
    AND(_xlpm.t&gt;=TIME(0,7,1),  _xlpm.t&lt;=TIME(0,8,19)), 1,
    AND(_xlpm.t&gt;=TIME(0,6,1),  _xlpm.t&lt;=TIME(0,7,0)),  0.8,
    AND(_xlpm.t&gt;=TIME(0,8,20), _xlpm.t&lt;=TIME(0,8,59)), 0.8,
    AND(_xlpm.t&gt;=TIME(0,5,1),  _xlpm.t&lt;=TIME(0,6,0)),  0.5,
    AND(_xlpm.t&gt;=TIME(0,9,0),  _xlpm.t&lt;=TIME(0,9,59)), 0.5,
    TRUE, 0.3
  )
)</f>
        <v>0.3</v>
      </c>
      <c r="P38" s="11">
        <f t="shared" si="9"/>
        <v>0</v>
      </c>
      <c r="Q38" s="11">
        <f t="shared" si="10"/>
        <v>0</v>
      </c>
      <c r="R38" s="11">
        <f t="shared" si="11"/>
        <v>0</v>
      </c>
      <c r="S38" s="11">
        <f t="shared" si="12"/>
        <v>0</v>
      </c>
      <c r="T38" s="11">
        <f t="shared" si="13"/>
        <v>0</v>
      </c>
    </row>
    <row r="39" spans="1:20">
      <c r="A39" s="11" t="s">
        <v>212</v>
      </c>
      <c r="B39" s="11" t="s">
        <v>213</v>
      </c>
      <c r="C39" s="11" t="s">
        <v>22</v>
      </c>
      <c r="D39" s="11">
        <v>37</v>
      </c>
      <c r="E39" s="11">
        <v>39</v>
      </c>
      <c r="F39" s="12" t="s">
        <v>17</v>
      </c>
      <c r="G39" s="11">
        <f t="shared" si="7"/>
        <v>0</v>
      </c>
      <c r="H39" s="13">
        <f>VLOOKUP($D39,'731講義室'!$B$2:$F$34,2,FALSE)</f>
        <v>0</v>
      </c>
      <c r="I39" s="11">
        <f>VLOOKUP($D39,'731講義室'!$B$2:$F$34,3,FALSE)</f>
        <v>0</v>
      </c>
      <c r="J39" s="11">
        <f>VLOOKUP($D39,'731講義室'!$B$2:$F$34,4,FALSE)</f>
        <v>0</v>
      </c>
      <c r="K39" s="11">
        <f>VLOOKUP($D39,'731講義室'!$B$2:$F$34,5,FALSE)</f>
        <v>0</v>
      </c>
      <c r="L39" s="11">
        <f>VLOOKUP($A39,'731講義室'!$G$2:$I$34,3,FALSE)</f>
        <v>0</v>
      </c>
      <c r="M39" s="12">
        <f>VLOOKUP($D39,'731講義室'!$B$2:$J$34,9,FALSE)</f>
        <v>0</v>
      </c>
      <c r="N39" s="14">
        <f t="shared" si="8"/>
        <v>0</v>
      </c>
      <c r="O39" s="13" cm="1">
        <f t="array" ref="O39">_xlfn.LET(
  _xlpm.t, TIME(0, INT($H39/100), MOD($H39,100)),
  _xlfn.IFS(
    AND(_xlpm.t&gt;=TIME(0,7,1),  _xlpm.t&lt;=TIME(0,8,19)), 1,
    AND(_xlpm.t&gt;=TIME(0,6,1),  _xlpm.t&lt;=TIME(0,7,0)),  0.8,
    AND(_xlpm.t&gt;=TIME(0,8,20), _xlpm.t&lt;=TIME(0,8,59)), 0.8,
    AND(_xlpm.t&gt;=TIME(0,5,1),  _xlpm.t&lt;=TIME(0,6,0)),  0.5,
    AND(_xlpm.t&gt;=TIME(0,9,0),  _xlpm.t&lt;=TIME(0,9,59)), 0.5,
    TRUE, 0.3
  )
)</f>
        <v>0.3</v>
      </c>
      <c r="P39" s="11">
        <f t="shared" si="9"/>
        <v>0</v>
      </c>
      <c r="Q39" s="11">
        <f t="shared" si="10"/>
        <v>0</v>
      </c>
      <c r="R39" s="11">
        <f t="shared" si="11"/>
        <v>0</v>
      </c>
      <c r="S39" s="11">
        <f t="shared" si="12"/>
        <v>0</v>
      </c>
      <c r="T39" s="11">
        <f t="shared" si="13"/>
        <v>0</v>
      </c>
    </row>
    <row r="40" spans="1:20">
      <c r="A40" s="11" t="s">
        <v>240</v>
      </c>
      <c r="B40" s="11" t="s">
        <v>241</v>
      </c>
      <c r="C40" s="11" t="s">
        <v>22</v>
      </c>
      <c r="D40" s="11">
        <v>37</v>
      </c>
      <c r="E40" s="11">
        <v>39</v>
      </c>
      <c r="F40" s="12" t="s">
        <v>17</v>
      </c>
      <c r="G40" s="11">
        <f t="shared" si="7"/>
        <v>0</v>
      </c>
      <c r="H40" s="13">
        <f>VLOOKUP($D40,'731講義室'!$B$2:$F$34,2,FALSE)</f>
        <v>0</v>
      </c>
      <c r="I40" s="11">
        <f>VLOOKUP($D40,'731講義室'!$B$2:$F$34,3,FALSE)</f>
        <v>0</v>
      </c>
      <c r="J40" s="11">
        <f>VLOOKUP($D40,'731講義室'!$B$2:$F$34,4,FALSE)</f>
        <v>0</v>
      </c>
      <c r="K40" s="11">
        <f>VLOOKUP($D40,'731講義室'!$B$2:$F$34,5,FALSE)</f>
        <v>0</v>
      </c>
      <c r="L40" s="11">
        <f>VLOOKUP($A40,'731講義室'!$G$2:$I$34,3,FALSE)</f>
        <v>0</v>
      </c>
      <c r="M40" s="12">
        <f>VLOOKUP($D40,'731講義室'!$B$2:$J$34,9,FALSE)</f>
        <v>0</v>
      </c>
      <c r="N40" s="14">
        <f t="shared" si="8"/>
        <v>0</v>
      </c>
      <c r="O40" s="13" cm="1">
        <f t="array" ref="O40">_xlfn.LET(
  _xlpm.t, TIME(0, INT($H40/100), MOD($H40,100)),
  _xlfn.IFS(
    AND(_xlpm.t&gt;=TIME(0,7,1),  _xlpm.t&lt;=TIME(0,8,19)), 1,
    AND(_xlpm.t&gt;=TIME(0,6,1),  _xlpm.t&lt;=TIME(0,7,0)),  0.8,
    AND(_xlpm.t&gt;=TIME(0,8,20), _xlpm.t&lt;=TIME(0,8,59)), 0.8,
    AND(_xlpm.t&gt;=TIME(0,5,1),  _xlpm.t&lt;=TIME(0,6,0)),  0.5,
    AND(_xlpm.t&gt;=TIME(0,9,0),  _xlpm.t&lt;=TIME(0,9,59)), 0.5,
    TRUE, 0.3
  )
)</f>
        <v>0.3</v>
      </c>
      <c r="P40" s="11">
        <f t="shared" si="9"/>
        <v>0</v>
      </c>
      <c r="Q40" s="11">
        <f t="shared" si="10"/>
        <v>0</v>
      </c>
      <c r="R40" s="11">
        <f t="shared" si="11"/>
        <v>0</v>
      </c>
      <c r="S40" s="11">
        <f t="shared" si="12"/>
        <v>0</v>
      </c>
      <c r="T40" s="11">
        <f t="shared" si="13"/>
        <v>0</v>
      </c>
    </row>
    <row r="41" spans="1:20">
      <c r="A41" s="11" t="s">
        <v>52</v>
      </c>
      <c r="B41" s="11" t="s">
        <v>53</v>
      </c>
      <c r="C41" s="11" t="s">
        <v>22</v>
      </c>
      <c r="D41" s="11">
        <v>33</v>
      </c>
      <c r="E41" s="11">
        <v>34</v>
      </c>
      <c r="F41" s="12" t="s">
        <v>17</v>
      </c>
      <c r="G41" s="11">
        <f t="shared" si="7"/>
        <v>0</v>
      </c>
      <c r="H41" s="13">
        <f>VLOOKUP($D41,'731講義室'!$B$2:$F$34,2,FALSE)</f>
        <v>0</v>
      </c>
      <c r="I41" s="11">
        <f>VLOOKUP($D41,'731講義室'!$B$2:$F$34,3,FALSE)</f>
        <v>0</v>
      </c>
      <c r="J41" s="11">
        <f>VLOOKUP($D41,'731講義室'!$B$2:$F$34,4,FALSE)</f>
        <v>0</v>
      </c>
      <c r="K41" s="11">
        <f>VLOOKUP($D41,'731講義室'!$B$2:$F$34,5,FALSE)</f>
        <v>0</v>
      </c>
      <c r="L41" s="11">
        <f>VLOOKUP($A41,'731講義室'!$G$2:$I$34,3,FALSE)</f>
        <v>0</v>
      </c>
      <c r="M41" s="12">
        <f>VLOOKUP($D41,'731講義室'!$B$2:$J$34,9,FALSE)</f>
        <v>0</v>
      </c>
      <c r="N41" s="14">
        <f t="shared" si="8"/>
        <v>0</v>
      </c>
      <c r="O41" s="13" cm="1">
        <f t="array" ref="O41">_xlfn.LET(
  _xlpm.t, TIME(0, INT($H41/100), MOD($H41,100)),
  _xlfn.IFS(
    AND(_xlpm.t&gt;=TIME(0,7,1),  _xlpm.t&lt;=TIME(0,8,19)), 1,
    AND(_xlpm.t&gt;=TIME(0,6,1),  _xlpm.t&lt;=TIME(0,7,0)),  0.8,
    AND(_xlpm.t&gt;=TIME(0,8,20), _xlpm.t&lt;=TIME(0,8,59)), 0.8,
    AND(_xlpm.t&gt;=TIME(0,5,1),  _xlpm.t&lt;=TIME(0,6,0)),  0.5,
    AND(_xlpm.t&gt;=TIME(0,9,0),  _xlpm.t&lt;=TIME(0,9,59)), 0.5,
    TRUE, 0.3
  )
)</f>
        <v>0.3</v>
      </c>
      <c r="P41" s="11">
        <f t="shared" si="9"/>
        <v>0</v>
      </c>
      <c r="Q41" s="11">
        <f t="shared" si="10"/>
        <v>0</v>
      </c>
      <c r="R41" s="11">
        <f t="shared" si="11"/>
        <v>0</v>
      </c>
      <c r="S41" s="11">
        <f t="shared" si="12"/>
        <v>0</v>
      </c>
      <c r="T41" s="11">
        <f t="shared" si="13"/>
        <v>0</v>
      </c>
    </row>
    <row r="42" spans="1:20">
      <c r="A42" s="11" t="s">
        <v>80</v>
      </c>
      <c r="B42" s="11" t="s">
        <v>81</v>
      </c>
      <c r="C42" s="11" t="s">
        <v>22</v>
      </c>
      <c r="D42" s="11">
        <v>33</v>
      </c>
      <c r="E42" s="11">
        <v>34</v>
      </c>
      <c r="F42" s="12" t="s">
        <v>17</v>
      </c>
      <c r="G42" s="11">
        <f t="shared" si="7"/>
        <v>0</v>
      </c>
      <c r="H42" s="13">
        <f>VLOOKUP($D42,'731講義室'!$B$2:$F$34,2,FALSE)</f>
        <v>0</v>
      </c>
      <c r="I42" s="11">
        <f>VLOOKUP($D42,'731講義室'!$B$2:$F$34,3,FALSE)</f>
        <v>0</v>
      </c>
      <c r="J42" s="11">
        <f>VLOOKUP($D42,'731講義室'!$B$2:$F$34,4,FALSE)</f>
        <v>0</v>
      </c>
      <c r="K42" s="11">
        <f>VLOOKUP($D42,'731講義室'!$B$2:$F$34,5,FALSE)</f>
        <v>0</v>
      </c>
      <c r="L42" s="11">
        <f>VLOOKUP($A42,'731講義室'!$G$2:$I$34,3,FALSE)</f>
        <v>0</v>
      </c>
      <c r="M42" s="12">
        <f>VLOOKUP($D42,'731講義室'!$B$2:$J$34,9,FALSE)</f>
        <v>0</v>
      </c>
      <c r="N42" s="14">
        <f t="shared" si="8"/>
        <v>0</v>
      </c>
      <c r="O42" s="13" cm="1">
        <f t="array" ref="O42">_xlfn.LET(
  _xlpm.t, TIME(0, INT($H42/100), MOD($H42,100)),
  _xlfn.IFS(
    AND(_xlpm.t&gt;=TIME(0,7,1),  _xlpm.t&lt;=TIME(0,8,19)), 1,
    AND(_xlpm.t&gt;=TIME(0,6,1),  _xlpm.t&lt;=TIME(0,7,0)),  0.8,
    AND(_xlpm.t&gt;=TIME(0,8,20), _xlpm.t&lt;=TIME(0,8,59)), 0.8,
    AND(_xlpm.t&gt;=TIME(0,5,1),  _xlpm.t&lt;=TIME(0,6,0)),  0.5,
    AND(_xlpm.t&gt;=TIME(0,9,0),  _xlpm.t&lt;=TIME(0,9,59)), 0.5,
    TRUE, 0.3
  )
)</f>
        <v>0.3</v>
      </c>
      <c r="P42" s="11">
        <f t="shared" si="9"/>
        <v>0</v>
      </c>
      <c r="Q42" s="11">
        <f t="shared" si="10"/>
        <v>0</v>
      </c>
      <c r="R42" s="11">
        <f t="shared" si="11"/>
        <v>0</v>
      </c>
      <c r="S42" s="11">
        <f t="shared" si="12"/>
        <v>0</v>
      </c>
      <c r="T42" s="11">
        <f t="shared" si="13"/>
        <v>0</v>
      </c>
    </row>
    <row r="43" spans="1:20">
      <c r="A43" s="11" t="s">
        <v>164</v>
      </c>
      <c r="B43" s="11" t="s">
        <v>165</v>
      </c>
      <c r="C43" s="11" t="s">
        <v>22</v>
      </c>
      <c r="D43" s="11">
        <v>33</v>
      </c>
      <c r="E43" s="11">
        <v>34</v>
      </c>
      <c r="F43" s="12" t="s">
        <v>17</v>
      </c>
      <c r="G43" s="11">
        <f t="shared" si="7"/>
        <v>0</v>
      </c>
      <c r="H43" s="13">
        <f>VLOOKUP($D43,'731講義室'!$B$2:$F$34,2,FALSE)</f>
        <v>0</v>
      </c>
      <c r="I43" s="11">
        <f>VLOOKUP($D43,'731講義室'!$B$2:$F$34,3,FALSE)</f>
        <v>0</v>
      </c>
      <c r="J43" s="11">
        <f>VLOOKUP($D43,'731講義室'!$B$2:$F$34,4,FALSE)</f>
        <v>0</v>
      </c>
      <c r="K43" s="11">
        <f>VLOOKUP($D43,'731講義室'!$B$2:$F$34,5,FALSE)</f>
        <v>0</v>
      </c>
      <c r="L43" s="11">
        <f>VLOOKUP($A43,'731講義室'!$G$2:$I$34,3,FALSE)</f>
        <v>0</v>
      </c>
      <c r="M43" s="12">
        <f>VLOOKUP($D43,'731講義室'!$B$2:$J$34,9,FALSE)</f>
        <v>0</v>
      </c>
      <c r="N43" s="14">
        <f t="shared" si="8"/>
        <v>0</v>
      </c>
      <c r="O43" s="13" cm="1">
        <f t="array" ref="O43">_xlfn.LET(
  _xlpm.t, TIME(0, INT($H43/100), MOD($H43,100)),
  _xlfn.IFS(
    AND(_xlpm.t&gt;=TIME(0,7,1),  _xlpm.t&lt;=TIME(0,8,19)), 1,
    AND(_xlpm.t&gt;=TIME(0,6,1),  _xlpm.t&lt;=TIME(0,7,0)),  0.8,
    AND(_xlpm.t&gt;=TIME(0,8,20), _xlpm.t&lt;=TIME(0,8,59)), 0.8,
    AND(_xlpm.t&gt;=TIME(0,5,1),  _xlpm.t&lt;=TIME(0,6,0)),  0.5,
    AND(_xlpm.t&gt;=TIME(0,9,0),  _xlpm.t&lt;=TIME(0,9,59)), 0.5,
    TRUE, 0.3
  )
)</f>
        <v>0.3</v>
      </c>
      <c r="P43" s="11">
        <f t="shared" si="9"/>
        <v>0</v>
      </c>
      <c r="Q43" s="11">
        <f t="shared" si="10"/>
        <v>0</v>
      </c>
      <c r="R43" s="11">
        <f t="shared" si="11"/>
        <v>0</v>
      </c>
      <c r="S43" s="11">
        <f t="shared" si="12"/>
        <v>0</v>
      </c>
      <c r="T43" s="11">
        <f t="shared" si="13"/>
        <v>0</v>
      </c>
    </row>
    <row r="44" spans="1:20">
      <c r="A44" s="11" t="s">
        <v>30</v>
      </c>
      <c r="B44" s="11" t="s">
        <v>31</v>
      </c>
      <c r="C44" s="11" t="s">
        <v>22</v>
      </c>
      <c r="D44" s="11">
        <v>42</v>
      </c>
      <c r="E44" s="11">
        <v>31</v>
      </c>
      <c r="F44" s="12" t="s">
        <v>17</v>
      </c>
      <c r="G44" s="11">
        <f t="shared" si="7"/>
        <v>0</v>
      </c>
      <c r="H44" s="13">
        <f>VLOOKUP($D44,'731講義室'!$B$2:$F$34,2,FALSE)</f>
        <v>0</v>
      </c>
      <c r="I44" s="11">
        <f>VLOOKUP($D44,'731講義室'!$B$2:$F$34,3,FALSE)</f>
        <v>0</v>
      </c>
      <c r="J44" s="11">
        <f>VLOOKUP($D44,'731講義室'!$B$2:$F$34,4,FALSE)</f>
        <v>0</v>
      </c>
      <c r="K44" s="11">
        <f>VLOOKUP($D44,'731講義室'!$B$2:$F$34,5,FALSE)</f>
        <v>0</v>
      </c>
      <c r="L44" s="11">
        <f>VLOOKUP($A44,'731講義室'!$G$2:$I$34,3,FALSE)</f>
        <v>0</v>
      </c>
      <c r="M44" s="12">
        <f>VLOOKUP($D44,'731講義室'!$B$2:$J$34,9,FALSE)</f>
        <v>0</v>
      </c>
      <c r="N44" s="14">
        <f t="shared" si="8"/>
        <v>0</v>
      </c>
      <c r="O44" s="13" cm="1">
        <f t="array" ref="O44">_xlfn.LET(
  _xlpm.t, TIME(0, INT($H44/100), MOD($H44,100)),
  _xlfn.IFS(
    AND(_xlpm.t&gt;=TIME(0,7,1),  _xlpm.t&lt;=TIME(0,8,19)), 1,
    AND(_xlpm.t&gt;=TIME(0,6,1),  _xlpm.t&lt;=TIME(0,7,0)),  0.8,
    AND(_xlpm.t&gt;=TIME(0,8,20), _xlpm.t&lt;=TIME(0,8,59)), 0.8,
    AND(_xlpm.t&gt;=TIME(0,5,1),  _xlpm.t&lt;=TIME(0,6,0)),  0.5,
    AND(_xlpm.t&gt;=TIME(0,9,0),  _xlpm.t&lt;=TIME(0,9,59)), 0.5,
    TRUE, 0.3
  )
)</f>
        <v>0.3</v>
      </c>
      <c r="P44" s="11">
        <f t="shared" si="9"/>
        <v>0</v>
      </c>
      <c r="Q44" s="11">
        <f t="shared" si="10"/>
        <v>0</v>
      </c>
      <c r="R44" s="11">
        <f t="shared" si="11"/>
        <v>0</v>
      </c>
      <c r="S44" s="11">
        <f t="shared" si="12"/>
        <v>0</v>
      </c>
      <c r="T44" s="11">
        <f t="shared" si="13"/>
        <v>0</v>
      </c>
    </row>
    <row r="45" spans="1:20">
      <c r="A45" s="11" t="s">
        <v>156</v>
      </c>
      <c r="B45" s="11" t="s">
        <v>157</v>
      </c>
      <c r="C45" s="11" t="s">
        <v>22</v>
      </c>
      <c r="D45" s="11">
        <v>42</v>
      </c>
      <c r="E45" s="11">
        <v>31</v>
      </c>
      <c r="F45" s="12" t="s">
        <v>17</v>
      </c>
      <c r="G45" s="11">
        <f t="shared" si="7"/>
        <v>0</v>
      </c>
      <c r="H45" s="13">
        <f>VLOOKUP($D45,'731講義室'!$B$2:$F$34,2,FALSE)</f>
        <v>0</v>
      </c>
      <c r="I45" s="11">
        <f>VLOOKUP($D45,'731講義室'!$B$2:$F$34,3,FALSE)</f>
        <v>0</v>
      </c>
      <c r="J45" s="11">
        <f>VLOOKUP($D45,'731講義室'!$B$2:$F$34,4,FALSE)</f>
        <v>0</v>
      </c>
      <c r="K45" s="11">
        <f>VLOOKUP($D45,'731講義室'!$B$2:$F$34,5,FALSE)</f>
        <v>0</v>
      </c>
      <c r="L45" s="11">
        <f>VLOOKUP($A45,'731講義室'!$G$2:$I$34,3,FALSE)</f>
        <v>0</v>
      </c>
      <c r="M45" s="12">
        <f>VLOOKUP($D45,'731講義室'!$B$2:$J$34,9,FALSE)</f>
        <v>0</v>
      </c>
      <c r="N45" s="14">
        <f t="shared" si="8"/>
        <v>0</v>
      </c>
      <c r="O45" s="13" cm="1">
        <f t="array" ref="O45">_xlfn.LET(
  _xlpm.t, TIME(0, INT($H45/100), MOD($H45,100)),
  _xlfn.IFS(
    AND(_xlpm.t&gt;=TIME(0,7,1),  _xlpm.t&lt;=TIME(0,8,19)), 1,
    AND(_xlpm.t&gt;=TIME(0,6,1),  _xlpm.t&lt;=TIME(0,7,0)),  0.8,
    AND(_xlpm.t&gt;=TIME(0,8,20), _xlpm.t&lt;=TIME(0,8,59)), 0.8,
    AND(_xlpm.t&gt;=TIME(0,5,1),  _xlpm.t&lt;=TIME(0,6,0)),  0.5,
    AND(_xlpm.t&gt;=TIME(0,9,0),  _xlpm.t&lt;=TIME(0,9,59)), 0.5,
    TRUE, 0.3
  )
)</f>
        <v>0.3</v>
      </c>
      <c r="P45" s="11">
        <f t="shared" si="9"/>
        <v>0</v>
      </c>
      <c r="Q45" s="11">
        <f t="shared" si="10"/>
        <v>0</v>
      </c>
      <c r="R45" s="11">
        <f t="shared" si="11"/>
        <v>0</v>
      </c>
      <c r="S45" s="11">
        <f t="shared" si="12"/>
        <v>0</v>
      </c>
      <c r="T45" s="11">
        <f t="shared" si="13"/>
        <v>0</v>
      </c>
    </row>
    <row r="46" spans="1:20">
      <c r="A46" s="11" t="s">
        <v>216</v>
      </c>
      <c r="B46" s="11" t="s">
        <v>217</v>
      </c>
      <c r="C46" s="11" t="s">
        <v>22</v>
      </c>
      <c r="D46" s="11">
        <v>42</v>
      </c>
      <c r="E46" s="11">
        <v>31</v>
      </c>
      <c r="F46" s="12" t="s">
        <v>17</v>
      </c>
      <c r="G46" s="11">
        <f t="shared" si="7"/>
        <v>0</v>
      </c>
      <c r="H46" s="13">
        <f>VLOOKUP($D46,'731講義室'!$B$2:$F$34,2,FALSE)</f>
        <v>0</v>
      </c>
      <c r="I46" s="11">
        <f>VLOOKUP($D46,'731講義室'!$B$2:$F$34,3,FALSE)</f>
        <v>0</v>
      </c>
      <c r="J46" s="11">
        <f>VLOOKUP($D46,'731講義室'!$B$2:$F$34,4,FALSE)</f>
        <v>0</v>
      </c>
      <c r="K46" s="11">
        <f>VLOOKUP($D46,'731講義室'!$B$2:$F$34,5,FALSE)</f>
        <v>0</v>
      </c>
      <c r="L46" s="11">
        <f>VLOOKUP($A46,'731講義室'!$G$2:$I$34,3,FALSE)</f>
        <v>0</v>
      </c>
      <c r="M46" s="12">
        <f>VLOOKUP($D46,'731講義室'!$B$2:$J$34,9,FALSE)</f>
        <v>0</v>
      </c>
      <c r="N46" s="14">
        <f t="shared" si="8"/>
        <v>0</v>
      </c>
      <c r="O46" s="13" cm="1">
        <f t="array" ref="O46">_xlfn.LET(
  _xlpm.t, TIME(0, INT($H46/100), MOD($H46,100)),
  _xlfn.IFS(
    AND(_xlpm.t&gt;=TIME(0,7,1),  _xlpm.t&lt;=TIME(0,8,19)), 1,
    AND(_xlpm.t&gt;=TIME(0,6,1),  _xlpm.t&lt;=TIME(0,7,0)),  0.8,
    AND(_xlpm.t&gt;=TIME(0,8,20), _xlpm.t&lt;=TIME(0,8,59)), 0.8,
    AND(_xlpm.t&gt;=TIME(0,5,1),  _xlpm.t&lt;=TIME(0,6,0)),  0.5,
    AND(_xlpm.t&gt;=TIME(0,9,0),  _xlpm.t&lt;=TIME(0,9,59)), 0.5,
    TRUE, 0.3
  )
)</f>
        <v>0.3</v>
      </c>
      <c r="P46" s="11">
        <f t="shared" si="9"/>
        <v>0</v>
      </c>
      <c r="Q46" s="11">
        <f t="shared" si="10"/>
        <v>0</v>
      </c>
      <c r="R46" s="11">
        <f t="shared" si="11"/>
        <v>0</v>
      </c>
      <c r="S46" s="11">
        <f t="shared" si="12"/>
        <v>0</v>
      </c>
      <c r="T46" s="11">
        <f t="shared" si="13"/>
        <v>0</v>
      </c>
    </row>
    <row r="47" spans="1:20">
      <c r="A47" s="11" t="s">
        <v>66</v>
      </c>
      <c r="B47" s="11" t="s">
        <v>67</v>
      </c>
      <c r="C47" s="11" t="s">
        <v>22</v>
      </c>
      <c r="D47" s="11">
        <v>41</v>
      </c>
      <c r="E47" s="11">
        <v>26</v>
      </c>
      <c r="F47" s="12" t="s">
        <v>17</v>
      </c>
      <c r="G47" s="11">
        <f t="shared" si="7"/>
        <v>0</v>
      </c>
      <c r="H47" s="13">
        <f>VLOOKUP($D47,'731講義室'!$B$2:$F$34,2,FALSE)</f>
        <v>0</v>
      </c>
      <c r="I47" s="11">
        <f>VLOOKUP($D47,'731講義室'!$B$2:$F$34,3,FALSE)</f>
        <v>0</v>
      </c>
      <c r="J47" s="11">
        <f>VLOOKUP($D47,'731講義室'!$B$2:$F$34,4,FALSE)</f>
        <v>0</v>
      </c>
      <c r="K47" s="11">
        <f>VLOOKUP($D47,'731講義室'!$B$2:$F$34,5,FALSE)</f>
        <v>0</v>
      </c>
      <c r="L47" s="11">
        <f>VLOOKUP($A47,'731講義室'!$G$2:$I$34,3,FALSE)</f>
        <v>0</v>
      </c>
      <c r="M47" s="12">
        <f>VLOOKUP($D47,'731講義室'!$B$2:$J$34,9,FALSE)</f>
        <v>0</v>
      </c>
      <c r="N47" s="14">
        <f t="shared" si="8"/>
        <v>0</v>
      </c>
      <c r="O47" s="13" cm="1">
        <f t="array" ref="O47">_xlfn.LET(
  _xlpm.t, TIME(0, INT($H47/100), MOD($H47,100)),
  _xlfn.IFS(
    AND(_xlpm.t&gt;=TIME(0,7,1),  _xlpm.t&lt;=TIME(0,8,19)), 1,
    AND(_xlpm.t&gt;=TIME(0,6,1),  _xlpm.t&lt;=TIME(0,7,0)),  0.8,
    AND(_xlpm.t&gt;=TIME(0,8,20), _xlpm.t&lt;=TIME(0,8,59)), 0.8,
    AND(_xlpm.t&gt;=TIME(0,5,1),  _xlpm.t&lt;=TIME(0,6,0)),  0.5,
    AND(_xlpm.t&gt;=TIME(0,9,0),  _xlpm.t&lt;=TIME(0,9,59)), 0.5,
    TRUE, 0.3
  )
)</f>
        <v>0.3</v>
      </c>
      <c r="P47" s="11">
        <f t="shared" si="9"/>
        <v>0</v>
      </c>
      <c r="Q47" s="11">
        <f t="shared" si="10"/>
        <v>0</v>
      </c>
      <c r="R47" s="11">
        <f t="shared" si="11"/>
        <v>0</v>
      </c>
      <c r="S47" s="11">
        <f t="shared" si="12"/>
        <v>0</v>
      </c>
      <c r="T47" s="11">
        <f t="shared" si="13"/>
        <v>0</v>
      </c>
    </row>
    <row r="48" spans="1:20">
      <c r="A48" s="11" t="s">
        <v>100</v>
      </c>
      <c r="B48" s="11" t="s">
        <v>101</v>
      </c>
      <c r="C48" s="11" t="s">
        <v>22</v>
      </c>
      <c r="D48" s="11">
        <v>41</v>
      </c>
      <c r="E48" s="11">
        <v>26</v>
      </c>
      <c r="F48" s="12" t="s">
        <v>17</v>
      </c>
      <c r="G48" s="11">
        <f t="shared" si="7"/>
        <v>0</v>
      </c>
      <c r="H48" s="13">
        <f>VLOOKUP($D48,'731講義室'!$B$2:$F$34,2,FALSE)</f>
        <v>0</v>
      </c>
      <c r="I48" s="11">
        <f>VLOOKUP($D48,'731講義室'!$B$2:$F$34,3,FALSE)</f>
        <v>0</v>
      </c>
      <c r="J48" s="11">
        <f>VLOOKUP($D48,'731講義室'!$B$2:$F$34,4,FALSE)</f>
        <v>0</v>
      </c>
      <c r="K48" s="11">
        <f>VLOOKUP($D48,'731講義室'!$B$2:$F$34,5,FALSE)</f>
        <v>0</v>
      </c>
      <c r="L48" s="11">
        <f>VLOOKUP($A48,'731講義室'!$G$2:$I$34,3,FALSE)</f>
        <v>0</v>
      </c>
      <c r="M48" s="12">
        <f>VLOOKUP($D48,'731講義室'!$B$2:$J$34,9,FALSE)</f>
        <v>0</v>
      </c>
      <c r="N48" s="14">
        <f t="shared" si="8"/>
        <v>0</v>
      </c>
      <c r="O48" s="13" cm="1">
        <f t="array" ref="O48">_xlfn.LET(
  _xlpm.t, TIME(0, INT($H48/100), MOD($H48,100)),
  _xlfn.IFS(
    AND(_xlpm.t&gt;=TIME(0,7,1),  _xlpm.t&lt;=TIME(0,8,19)), 1,
    AND(_xlpm.t&gt;=TIME(0,6,1),  _xlpm.t&lt;=TIME(0,7,0)),  0.8,
    AND(_xlpm.t&gt;=TIME(0,8,20), _xlpm.t&lt;=TIME(0,8,59)), 0.8,
    AND(_xlpm.t&gt;=TIME(0,5,1),  _xlpm.t&lt;=TIME(0,6,0)),  0.5,
    AND(_xlpm.t&gt;=TIME(0,9,0),  _xlpm.t&lt;=TIME(0,9,59)), 0.5,
    TRUE, 0.3
  )
)</f>
        <v>0.3</v>
      </c>
      <c r="P48" s="11">
        <f t="shared" si="9"/>
        <v>0</v>
      </c>
      <c r="Q48" s="11">
        <f t="shared" si="10"/>
        <v>0</v>
      </c>
      <c r="R48" s="11">
        <f t="shared" si="11"/>
        <v>0</v>
      </c>
      <c r="S48" s="11">
        <f t="shared" si="12"/>
        <v>0</v>
      </c>
      <c r="T48" s="11">
        <f t="shared" si="13"/>
        <v>0</v>
      </c>
    </row>
    <row r="49" spans="1:20">
      <c r="A49" s="11" t="s">
        <v>196</v>
      </c>
      <c r="B49" s="11" t="s">
        <v>197</v>
      </c>
      <c r="C49" s="11" t="s">
        <v>22</v>
      </c>
      <c r="D49" s="11">
        <v>41</v>
      </c>
      <c r="E49" s="11">
        <v>26</v>
      </c>
      <c r="F49" s="12" t="s">
        <v>17</v>
      </c>
      <c r="G49" s="11">
        <f t="shared" si="7"/>
        <v>0</v>
      </c>
      <c r="H49" s="13">
        <f>VLOOKUP($D49,'731講義室'!$B$2:$F$34,2,FALSE)</f>
        <v>0</v>
      </c>
      <c r="I49" s="11">
        <f>VLOOKUP($D49,'731講義室'!$B$2:$F$34,3,FALSE)</f>
        <v>0</v>
      </c>
      <c r="J49" s="11">
        <f>VLOOKUP($D49,'731講義室'!$B$2:$F$34,4,FALSE)</f>
        <v>0</v>
      </c>
      <c r="K49" s="11">
        <f>VLOOKUP($D49,'731講義室'!$B$2:$F$34,5,FALSE)</f>
        <v>0</v>
      </c>
      <c r="L49" s="11">
        <f>VLOOKUP($A49,'731講義室'!$G$2:$I$34,3,FALSE)</f>
        <v>0</v>
      </c>
      <c r="M49" s="12">
        <f>VLOOKUP($D49,'731講義室'!$B$2:$J$34,9,FALSE)</f>
        <v>0</v>
      </c>
      <c r="N49" s="14">
        <f t="shared" si="8"/>
        <v>0</v>
      </c>
      <c r="O49" s="13" cm="1">
        <f t="array" ref="O49">_xlfn.LET(
  _xlpm.t, TIME(0, INT($H49/100), MOD($H49,100)),
  _xlfn.IFS(
    AND(_xlpm.t&gt;=TIME(0,7,1),  _xlpm.t&lt;=TIME(0,8,19)), 1,
    AND(_xlpm.t&gt;=TIME(0,6,1),  _xlpm.t&lt;=TIME(0,7,0)),  0.8,
    AND(_xlpm.t&gt;=TIME(0,8,20), _xlpm.t&lt;=TIME(0,8,59)), 0.8,
    AND(_xlpm.t&gt;=TIME(0,5,1),  _xlpm.t&lt;=TIME(0,6,0)),  0.5,
    AND(_xlpm.t&gt;=TIME(0,9,0),  _xlpm.t&lt;=TIME(0,9,59)), 0.5,
    TRUE, 0.3
  )
)</f>
        <v>0.3</v>
      </c>
      <c r="P49" s="11">
        <f t="shared" si="9"/>
        <v>0</v>
      </c>
      <c r="Q49" s="11">
        <f t="shared" si="10"/>
        <v>0</v>
      </c>
      <c r="R49" s="11">
        <f t="shared" si="11"/>
        <v>0</v>
      </c>
      <c r="S49" s="11">
        <f t="shared" si="12"/>
        <v>0</v>
      </c>
      <c r="T49" s="11">
        <f t="shared" si="13"/>
        <v>0</v>
      </c>
    </row>
    <row r="50" spans="1:20">
      <c r="A50" s="11" t="s">
        <v>138</v>
      </c>
      <c r="B50" s="11" t="s">
        <v>139</v>
      </c>
      <c r="C50" s="11" t="s">
        <v>22</v>
      </c>
      <c r="D50" s="11">
        <v>22</v>
      </c>
      <c r="E50" s="11">
        <v>23</v>
      </c>
      <c r="F50" s="12" t="s">
        <v>17</v>
      </c>
      <c r="G50" s="11">
        <f t="shared" si="7"/>
        <v>0</v>
      </c>
      <c r="H50" s="13">
        <f>VLOOKUP($D50,'731講義室'!$B$2:$F$34,2,FALSE)</f>
        <v>0</v>
      </c>
      <c r="I50" s="11">
        <f>VLOOKUP($D50,'731講義室'!$B$2:$F$34,3,FALSE)</f>
        <v>0</v>
      </c>
      <c r="J50" s="11">
        <f>VLOOKUP($D50,'731講義室'!$B$2:$F$34,4,FALSE)</f>
        <v>0</v>
      </c>
      <c r="K50" s="11">
        <f>VLOOKUP($D50,'731講義室'!$B$2:$F$34,5,FALSE)</f>
        <v>0</v>
      </c>
      <c r="L50" s="11">
        <f>VLOOKUP($A50,'731講義室'!$G$2:$I$34,3,FALSE)</f>
        <v>0</v>
      </c>
      <c r="M50" s="12">
        <f>VLOOKUP($D50,'731講義室'!$B$2:$J$34,9,FALSE)</f>
        <v>0</v>
      </c>
      <c r="N50" s="14">
        <f t="shared" si="8"/>
        <v>0</v>
      </c>
      <c r="O50" s="13" cm="1">
        <f t="array" ref="O50">_xlfn.LET(
  _xlpm.t, TIME(0, INT($H50/100), MOD($H50,100)),
  _xlfn.IFS(
    AND(_xlpm.t&gt;=TIME(0,7,1),  _xlpm.t&lt;=TIME(0,8,19)), 1,
    AND(_xlpm.t&gt;=TIME(0,6,1),  _xlpm.t&lt;=TIME(0,7,0)),  0.8,
    AND(_xlpm.t&gt;=TIME(0,8,20), _xlpm.t&lt;=TIME(0,8,59)), 0.8,
    AND(_xlpm.t&gt;=TIME(0,5,1),  _xlpm.t&lt;=TIME(0,6,0)),  0.5,
    AND(_xlpm.t&gt;=TIME(0,9,0),  _xlpm.t&lt;=TIME(0,9,59)), 0.5,
    TRUE, 0.3
  )
)</f>
        <v>0.3</v>
      </c>
      <c r="P50" s="11">
        <f t="shared" si="9"/>
        <v>0</v>
      </c>
      <c r="Q50" s="11">
        <f t="shared" si="10"/>
        <v>0</v>
      </c>
      <c r="R50" s="11">
        <f t="shared" si="11"/>
        <v>0</v>
      </c>
      <c r="S50" s="11">
        <f t="shared" si="12"/>
        <v>0</v>
      </c>
      <c r="T50" s="11">
        <f t="shared" si="13"/>
        <v>0</v>
      </c>
    </row>
    <row r="51" spans="1:20">
      <c r="A51" s="11" t="s">
        <v>194</v>
      </c>
      <c r="B51" s="11" t="s">
        <v>195</v>
      </c>
      <c r="C51" s="11" t="s">
        <v>22</v>
      </c>
      <c r="D51" s="11">
        <v>22</v>
      </c>
      <c r="E51" s="11">
        <v>23</v>
      </c>
      <c r="F51" s="12" t="s">
        <v>17</v>
      </c>
      <c r="G51" s="11">
        <f t="shared" si="7"/>
        <v>0</v>
      </c>
      <c r="H51" s="13">
        <f>VLOOKUP($D51,'731講義室'!$B$2:$F$34,2,FALSE)</f>
        <v>0</v>
      </c>
      <c r="I51" s="11">
        <f>VLOOKUP($D51,'731講義室'!$B$2:$F$34,3,FALSE)</f>
        <v>0</v>
      </c>
      <c r="J51" s="11">
        <f>VLOOKUP($D51,'731講義室'!$B$2:$F$34,4,FALSE)</f>
        <v>0</v>
      </c>
      <c r="K51" s="11">
        <f>VLOOKUP($D51,'731講義室'!$B$2:$F$34,5,FALSE)</f>
        <v>0</v>
      </c>
      <c r="L51" s="11">
        <f>VLOOKUP($A51,'731講義室'!$G$2:$I$34,3,FALSE)</f>
        <v>0</v>
      </c>
      <c r="M51" s="12">
        <f>VLOOKUP($D51,'731講義室'!$B$2:$J$34,9,FALSE)</f>
        <v>0</v>
      </c>
      <c r="N51" s="14">
        <f t="shared" si="8"/>
        <v>0</v>
      </c>
      <c r="O51" s="13" cm="1">
        <f t="array" ref="O51">_xlfn.LET(
  _xlpm.t, TIME(0, INT($H51/100), MOD($H51,100)),
  _xlfn.IFS(
    AND(_xlpm.t&gt;=TIME(0,7,1),  _xlpm.t&lt;=TIME(0,8,19)), 1,
    AND(_xlpm.t&gt;=TIME(0,6,1),  _xlpm.t&lt;=TIME(0,7,0)),  0.8,
    AND(_xlpm.t&gt;=TIME(0,8,20), _xlpm.t&lt;=TIME(0,8,59)), 0.8,
    AND(_xlpm.t&gt;=TIME(0,5,1),  _xlpm.t&lt;=TIME(0,6,0)),  0.5,
    AND(_xlpm.t&gt;=TIME(0,9,0),  _xlpm.t&lt;=TIME(0,9,59)), 0.5,
    TRUE, 0.3
  )
)</f>
        <v>0.3</v>
      </c>
      <c r="P51" s="11">
        <f t="shared" si="9"/>
        <v>0</v>
      </c>
      <c r="Q51" s="11">
        <f t="shared" si="10"/>
        <v>0</v>
      </c>
      <c r="R51" s="11">
        <f t="shared" si="11"/>
        <v>0</v>
      </c>
      <c r="S51" s="11">
        <f t="shared" si="12"/>
        <v>0</v>
      </c>
      <c r="T51" s="11">
        <f t="shared" si="13"/>
        <v>0</v>
      </c>
    </row>
    <row r="52" spans="1:20">
      <c r="A52" s="11" t="s">
        <v>264</v>
      </c>
      <c r="B52" s="11" t="s">
        <v>265</v>
      </c>
      <c r="C52" s="11" t="s">
        <v>22</v>
      </c>
      <c r="D52" s="11">
        <v>22</v>
      </c>
      <c r="E52" s="11">
        <v>23</v>
      </c>
      <c r="F52" s="12" t="s">
        <v>17</v>
      </c>
      <c r="G52" s="11">
        <f t="shared" si="7"/>
        <v>0</v>
      </c>
      <c r="H52" s="13">
        <f>VLOOKUP($D52,'731講義室'!$B$2:$F$34,2,FALSE)</f>
        <v>0</v>
      </c>
      <c r="I52" s="11">
        <f>VLOOKUP($D52,'731講義室'!$B$2:$F$34,3,FALSE)</f>
        <v>0</v>
      </c>
      <c r="J52" s="11">
        <f>VLOOKUP($D52,'731講義室'!$B$2:$F$34,4,FALSE)</f>
        <v>0</v>
      </c>
      <c r="K52" s="11">
        <f>VLOOKUP($D52,'731講義室'!$B$2:$F$34,5,FALSE)</f>
        <v>0</v>
      </c>
      <c r="L52" s="11">
        <f>VLOOKUP($A52,'731講義室'!$G$2:$I$34,3,FALSE)</f>
        <v>0</v>
      </c>
      <c r="M52" s="12">
        <f>VLOOKUP($D52,'731講義室'!$B$2:$J$34,9,FALSE)</f>
        <v>0</v>
      </c>
      <c r="N52" s="14">
        <f t="shared" si="8"/>
        <v>0</v>
      </c>
      <c r="O52" s="13" cm="1">
        <f t="array" ref="O52">_xlfn.LET(
  _xlpm.t, TIME(0, INT($H52/100), MOD($H52,100)),
  _xlfn.IFS(
    AND(_xlpm.t&gt;=TIME(0,7,1),  _xlpm.t&lt;=TIME(0,8,19)), 1,
    AND(_xlpm.t&gt;=TIME(0,6,1),  _xlpm.t&lt;=TIME(0,7,0)),  0.8,
    AND(_xlpm.t&gt;=TIME(0,8,20), _xlpm.t&lt;=TIME(0,8,59)), 0.8,
    AND(_xlpm.t&gt;=TIME(0,5,1),  _xlpm.t&lt;=TIME(0,6,0)),  0.5,
    AND(_xlpm.t&gt;=TIME(0,9,0),  _xlpm.t&lt;=TIME(0,9,59)), 0.5,
    TRUE, 0.3
  )
)</f>
        <v>0.3</v>
      </c>
      <c r="P52" s="11">
        <f t="shared" si="9"/>
        <v>0</v>
      </c>
      <c r="Q52" s="11">
        <f t="shared" si="10"/>
        <v>0</v>
      </c>
      <c r="R52" s="11">
        <f t="shared" si="11"/>
        <v>0</v>
      </c>
      <c r="S52" s="11">
        <f t="shared" si="12"/>
        <v>0</v>
      </c>
      <c r="T52" s="11">
        <f t="shared" si="13"/>
        <v>0</v>
      </c>
    </row>
    <row r="53" spans="1:20">
      <c r="A53" s="11" t="s">
        <v>34</v>
      </c>
      <c r="B53" s="11" t="s">
        <v>35</v>
      </c>
      <c r="C53" s="11" t="s">
        <v>22</v>
      </c>
      <c r="D53" s="11">
        <v>3</v>
      </c>
      <c r="E53" s="11">
        <v>18</v>
      </c>
      <c r="F53" s="12" t="s">
        <v>17</v>
      </c>
      <c r="G53" s="11">
        <f t="shared" si="7"/>
        <v>0</v>
      </c>
      <c r="H53" s="13">
        <f>VLOOKUP($D53,'731講義室'!$B$2:$F$34,2,FALSE)</f>
        <v>0</v>
      </c>
      <c r="I53" s="11">
        <f>VLOOKUP($D53,'731講義室'!$B$2:$F$34,3,FALSE)</f>
        <v>0</v>
      </c>
      <c r="J53" s="11">
        <f>VLOOKUP($D53,'731講義室'!$B$2:$F$34,4,FALSE)</f>
        <v>0</v>
      </c>
      <c r="K53" s="11">
        <f>VLOOKUP($D53,'731講義室'!$B$2:$F$34,5,FALSE)</f>
        <v>0</v>
      </c>
      <c r="L53" s="11">
        <f>VLOOKUP($A53,'731講義室'!$G$2:$I$34,3,FALSE)</f>
        <v>0</v>
      </c>
      <c r="M53" s="12">
        <f>VLOOKUP($D53,'731講義室'!$B$2:$J$34,9,FALSE)</f>
        <v>0</v>
      </c>
      <c r="N53" s="14">
        <f t="shared" si="8"/>
        <v>0</v>
      </c>
      <c r="O53" s="13" cm="1">
        <f t="array" ref="O53">_xlfn.LET(
  _xlpm.t, TIME(0, INT($H53/100), MOD($H53,100)),
  _xlfn.IFS(
    AND(_xlpm.t&gt;=TIME(0,7,1),  _xlpm.t&lt;=TIME(0,8,19)), 1,
    AND(_xlpm.t&gt;=TIME(0,6,1),  _xlpm.t&lt;=TIME(0,7,0)),  0.8,
    AND(_xlpm.t&gt;=TIME(0,8,20), _xlpm.t&lt;=TIME(0,8,59)), 0.8,
    AND(_xlpm.t&gt;=TIME(0,5,1),  _xlpm.t&lt;=TIME(0,6,0)),  0.5,
    AND(_xlpm.t&gt;=TIME(0,9,0),  _xlpm.t&lt;=TIME(0,9,59)), 0.5,
    TRUE, 0.3
  )
)</f>
        <v>0.3</v>
      </c>
      <c r="P53" s="11">
        <f t="shared" si="9"/>
        <v>0</v>
      </c>
      <c r="Q53" s="11">
        <f t="shared" si="10"/>
        <v>0</v>
      </c>
      <c r="R53" s="11">
        <f t="shared" si="11"/>
        <v>0</v>
      </c>
      <c r="S53" s="11">
        <f t="shared" si="12"/>
        <v>0</v>
      </c>
      <c r="T53" s="11">
        <f t="shared" si="13"/>
        <v>0</v>
      </c>
    </row>
    <row r="54" spans="1:20">
      <c r="A54" s="11" t="s">
        <v>56</v>
      </c>
      <c r="B54" s="11" t="s">
        <v>57</v>
      </c>
      <c r="C54" s="11" t="s">
        <v>22</v>
      </c>
      <c r="D54" s="11">
        <v>3</v>
      </c>
      <c r="E54" s="11">
        <v>18</v>
      </c>
      <c r="F54" s="12" t="s">
        <v>17</v>
      </c>
      <c r="G54" s="11">
        <f t="shared" si="7"/>
        <v>0</v>
      </c>
      <c r="H54" s="13">
        <f>VLOOKUP($D54,'731講義室'!$B$2:$F$34,2,FALSE)</f>
        <v>0</v>
      </c>
      <c r="I54" s="11">
        <f>VLOOKUP($D54,'731講義室'!$B$2:$F$34,3,FALSE)</f>
        <v>0</v>
      </c>
      <c r="J54" s="11">
        <f>VLOOKUP($D54,'731講義室'!$B$2:$F$34,4,FALSE)</f>
        <v>0</v>
      </c>
      <c r="K54" s="11">
        <f>VLOOKUP($D54,'731講義室'!$B$2:$F$34,5,FALSE)</f>
        <v>0</v>
      </c>
      <c r="L54" s="11">
        <f>VLOOKUP($A54,'731講義室'!$G$2:$I$34,3,FALSE)</f>
        <v>0</v>
      </c>
      <c r="M54" s="12">
        <f>VLOOKUP($D54,'731講義室'!$B$2:$J$34,9,FALSE)</f>
        <v>0</v>
      </c>
      <c r="N54" s="14">
        <f t="shared" si="8"/>
        <v>0</v>
      </c>
      <c r="O54" s="13" cm="1">
        <f t="array" ref="O54">_xlfn.LET(
  _xlpm.t, TIME(0, INT($H54/100), MOD($H54,100)),
  _xlfn.IFS(
    AND(_xlpm.t&gt;=TIME(0,7,1),  _xlpm.t&lt;=TIME(0,8,19)), 1,
    AND(_xlpm.t&gt;=TIME(0,6,1),  _xlpm.t&lt;=TIME(0,7,0)),  0.8,
    AND(_xlpm.t&gt;=TIME(0,8,20), _xlpm.t&lt;=TIME(0,8,59)), 0.8,
    AND(_xlpm.t&gt;=TIME(0,5,1),  _xlpm.t&lt;=TIME(0,6,0)),  0.5,
    AND(_xlpm.t&gt;=TIME(0,9,0),  _xlpm.t&lt;=TIME(0,9,59)), 0.5,
    TRUE, 0.3
  )
)</f>
        <v>0.3</v>
      </c>
      <c r="P54" s="11">
        <f t="shared" si="9"/>
        <v>0</v>
      </c>
      <c r="Q54" s="11">
        <f t="shared" si="10"/>
        <v>0</v>
      </c>
      <c r="R54" s="11">
        <f t="shared" si="11"/>
        <v>0</v>
      </c>
      <c r="S54" s="11">
        <f t="shared" si="12"/>
        <v>0</v>
      </c>
      <c r="T54" s="11">
        <f t="shared" si="13"/>
        <v>0</v>
      </c>
    </row>
    <row r="55" spans="1:20">
      <c r="A55" s="11" t="s">
        <v>154</v>
      </c>
      <c r="B55" s="11" t="s">
        <v>155</v>
      </c>
      <c r="C55" s="11" t="s">
        <v>22</v>
      </c>
      <c r="D55" s="11">
        <v>3</v>
      </c>
      <c r="E55" s="11">
        <v>18</v>
      </c>
      <c r="F55" s="12" t="s">
        <v>17</v>
      </c>
      <c r="G55" s="11">
        <f t="shared" si="7"/>
        <v>0</v>
      </c>
      <c r="H55" s="13">
        <f>VLOOKUP($D55,'731講義室'!$B$2:$F$34,2,FALSE)</f>
        <v>0</v>
      </c>
      <c r="I55" s="11">
        <f>VLOOKUP($D55,'731講義室'!$B$2:$F$34,3,FALSE)</f>
        <v>0</v>
      </c>
      <c r="J55" s="11">
        <f>VLOOKUP($D55,'731講義室'!$B$2:$F$34,4,FALSE)</f>
        <v>0</v>
      </c>
      <c r="K55" s="11">
        <f>VLOOKUP($D55,'731講義室'!$B$2:$F$34,5,FALSE)</f>
        <v>0</v>
      </c>
      <c r="L55" s="11">
        <f>VLOOKUP($A55,'731講義室'!$G$2:$I$34,3,FALSE)</f>
        <v>0</v>
      </c>
      <c r="M55" s="12">
        <f>VLOOKUP($D55,'731講義室'!$B$2:$J$34,9,FALSE)</f>
        <v>0</v>
      </c>
      <c r="N55" s="14">
        <f t="shared" si="8"/>
        <v>0</v>
      </c>
      <c r="O55" s="13" cm="1">
        <f t="array" ref="O55">_xlfn.LET(
  _xlpm.t, TIME(0, INT($H55/100), MOD($H55,100)),
  _xlfn.IFS(
    AND(_xlpm.t&gt;=TIME(0,7,1),  _xlpm.t&lt;=TIME(0,8,19)), 1,
    AND(_xlpm.t&gt;=TIME(0,6,1),  _xlpm.t&lt;=TIME(0,7,0)),  0.8,
    AND(_xlpm.t&gt;=TIME(0,8,20), _xlpm.t&lt;=TIME(0,8,59)), 0.8,
    AND(_xlpm.t&gt;=TIME(0,5,1),  _xlpm.t&lt;=TIME(0,6,0)),  0.5,
    AND(_xlpm.t&gt;=TIME(0,9,0),  _xlpm.t&lt;=TIME(0,9,59)), 0.5,
    TRUE, 0.3
  )
)</f>
        <v>0.3</v>
      </c>
      <c r="P55" s="11">
        <f t="shared" si="9"/>
        <v>0</v>
      </c>
      <c r="Q55" s="11">
        <f t="shared" si="10"/>
        <v>0</v>
      </c>
      <c r="R55" s="11">
        <f t="shared" si="11"/>
        <v>0</v>
      </c>
      <c r="S55" s="11">
        <f t="shared" si="12"/>
        <v>0</v>
      </c>
      <c r="T55" s="11">
        <f t="shared" si="13"/>
        <v>0</v>
      </c>
    </row>
    <row r="56" spans="1:20">
      <c r="A56" s="11" t="s">
        <v>90</v>
      </c>
      <c r="B56" s="11" t="s">
        <v>91</v>
      </c>
      <c r="C56" s="11" t="s">
        <v>22</v>
      </c>
      <c r="D56" s="11">
        <v>27</v>
      </c>
      <c r="E56" s="11">
        <v>15</v>
      </c>
      <c r="F56" s="12" t="s">
        <v>17</v>
      </c>
      <c r="G56" s="11">
        <f t="shared" si="7"/>
        <v>0</v>
      </c>
      <c r="H56" s="13">
        <f>VLOOKUP($D56,'731講義室'!$B$2:$F$34,2,FALSE)</f>
        <v>0</v>
      </c>
      <c r="I56" s="11">
        <f>VLOOKUP($D56,'731講義室'!$B$2:$F$34,3,FALSE)</f>
        <v>0</v>
      </c>
      <c r="J56" s="11">
        <f>VLOOKUP($D56,'731講義室'!$B$2:$F$34,4,FALSE)</f>
        <v>0</v>
      </c>
      <c r="K56" s="11">
        <f>VLOOKUP($D56,'731講義室'!$B$2:$F$34,5,FALSE)</f>
        <v>0</v>
      </c>
      <c r="L56" s="11">
        <f>VLOOKUP($A56,'731講義室'!$G$2:$I$34,3,FALSE)</f>
        <v>0</v>
      </c>
      <c r="M56" s="12">
        <f>VLOOKUP($D56,'731講義室'!$B$2:$J$34,9,FALSE)</f>
        <v>0</v>
      </c>
      <c r="N56" s="14">
        <f t="shared" si="8"/>
        <v>0</v>
      </c>
      <c r="O56" s="13" cm="1">
        <f t="array" ref="O56">_xlfn.LET(
  _xlpm.t, TIME(0, INT($H56/100), MOD($H56,100)),
  _xlfn.IFS(
    AND(_xlpm.t&gt;=TIME(0,7,1),  _xlpm.t&lt;=TIME(0,8,19)), 1,
    AND(_xlpm.t&gt;=TIME(0,6,1),  _xlpm.t&lt;=TIME(0,7,0)),  0.8,
    AND(_xlpm.t&gt;=TIME(0,8,20), _xlpm.t&lt;=TIME(0,8,59)), 0.8,
    AND(_xlpm.t&gt;=TIME(0,5,1),  _xlpm.t&lt;=TIME(0,6,0)),  0.5,
    AND(_xlpm.t&gt;=TIME(0,9,0),  _xlpm.t&lt;=TIME(0,9,59)), 0.5,
    TRUE, 0.3
  )
)</f>
        <v>0.3</v>
      </c>
      <c r="P56" s="11">
        <f t="shared" si="9"/>
        <v>0</v>
      </c>
      <c r="Q56" s="11">
        <f t="shared" si="10"/>
        <v>0</v>
      </c>
      <c r="R56" s="11">
        <f t="shared" si="11"/>
        <v>0</v>
      </c>
      <c r="S56" s="11">
        <f t="shared" si="12"/>
        <v>0</v>
      </c>
      <c r="T56" s="11">
        <f t="shared" si="13"/>
        <v>0</v>
      </c>
    </row>
    <row r="57" spans="1:20">
      <c r="A57" s="11" t="s">
        <v>112</v>
      </c>
      <c r="B57" s="11" t="s">
        <v>113</v>
      </c>
      <c r="C57" s="11" t="s">
        <v>22</v>
      </c>
      <c r="D57" s="11">
        <v>27</v>
      </c>
      <c r="E57" s="11">
        <v>15</v>
      </c>
      <c r="F57" s="12" t="s">
        <v>17</v>
      </c>
      <c r="G57" s="11">
        <f t="shared" si="7"/>
        <v>0</v>
      </c>
      <c r="H57" s="13">
        <f>VLOOKUP($D57,'731講義室'!$B$2:$F$34,2,FALSE)</f>
        <v>0</v>
      </c>
      <c r="I57" s="11">
        <f>VLOOKUP($D57,'731講義室'!$B$2:$F$34,3,FALSE)</f>
        <v>0</v>
      </c>
      <c r="J57" s="11">
        <f>VLOOKUP($D57,'731講義室'!$B$2:$F$34,4,FALSE)</f>
        <v>0</v>
      </c>
      <c r="K57" s="11">
        <f>VLOOKUP($D57,'731講義室'!$B$2:$F$34,5,FALSE)</f>
        <v>0</v>
      </c>
      <c r="L57" s="11">
        <f>VLOOKUP($A57,'731講義室'!$G$2:$I$34,3,FALSE)</f>
        <v>0</v>
      </c>
      <c r="M57" s="12">
        <f>VLOOKUP($D57,'731講義室'!$B$2:$J$34,9,FALSE)</f>
        <v>0</v>
      </c>
      <c r="N57" s="14">
        <f t="shared" si="8"/>
        <v>0</v>
      </c>
      <c r="O57" s="13" cm="1">
        <f t="array" ref="O57">_xlfn.LET(
  _xlpm.t, TIME(0, INT($H57/100), MOD($H57,100)),
  _xlfn.IFS(
    AND(_xlpm.t&gt;=TIME(0,7,1),  _xlpm.t&lt;=TIME(0,8,19)), 1,
    AND(_xlpm.t&gt;=TIME(0,6,1),  _xlpm.t&lt;=TIME(0,7,0)),  0.8,
    AND(_xlpm.t&gt;=TIME(0,8,20), _xlpm.t&lt;=TIME(0,8,59)), 0.8,
    AND(_xlpm.t&gt;=TIME(0,5,1),  _xlpm.t&lt;=TIME(0,6,0)),  0.5,
    AND(_xlpm.t&gt;=TIME(0,9,0),  _xlpm.t&lt;=TIME(0,9,59)), 0.5,
    TRUE, 0.3
  )
)</f>
        <v>0.3</v>
      </c>
      <c r="P57" s="11">
        <f t="shared" si="9"/>
        <v>0</v>
      </c>
      <c r="Q57" s="11">
        <f t="shared" si="10"/>
        <v>0</v>
      </c>
      <c r="R57" s="11">
        <f t="shared" si="11"/>
        <v>0</v>
      </c>
      <c r="S57" s="11">
        <f t="shared" si="12"/>
        <v>0</v>
      </c>
      <c r="T57" s="11">
        <f t="shared" si="13"/>
        <v>0</v>
      </c>
    </row>
    <row r="58" spans="1:20">
      <c r="A58" s="11" t="s">
        <v>124</v>
      </c>
      <c r="B58" s="11" t="s">
        <v>125</v>
      </c>
      <c r="C58" s="11" t="s">
        <v>22</v>
      </c>
      <c r="D58" s="11">
        <v>27</v>
      </c>
      <c r="E58" s="11">
        <v>15</v>
      </c>
      <c r="F58" s="12" t="s">
        <v>17</v>
      </c>
      <c r="G58" s="11">
        <f t="shared" si="7"/>
        <v>0</v>
      </c>
      <c r="H58" s="13">
        <f>VLOOKUP($D58,'731講義室'!$B$2:$F$34,2,FALSE)</f>
        <v>0</v>
      </c>
      <c r="I58" s="11">
        <f>VLOOKUP($D58,'731講義室'!$B$2:$F$34,3,FALSE)</f>
        <v>0</v>
      </c>
      <c r="J58" s="11">
        <f>VLOOKUP($D58,'731講義室'!$B$2:$F$34,4,FALSE)</f>
        <v>0</v>
      </c>
      <c r="K58" s="11">
        <f>VLOOKUP($D58,'731講義室'!$B$2:$F$34,5,FALSE)</f>
        <v>0</v>
      </c>
      <c r="L58" s="11">
        <f>VLOOKUP($A58,'731講義室'!$G$2:$I$34,3,FALSE)</f>
        <v>0</v>
      </c>
      <c r="M58" s="12">
        <f>VLOOKUP($D58,'731講義室'!$B$2:$J$34,9,FALSE)</f>
        <v>0</v>
      </c>
      <c r="N58" s="14">
        <f t="shared" si="8"/>
        <v>0</v>
      </c>
      <c r="O58" s="13" cm="1">
        <f t="array" ref="O58">_xlfn.LET(
  _xlpm.t, TIME(0, INT($H58/100), MOD($H58,100)),
  _xlfn.IFS(
    AND(_xlpm.t&gt;=TIME(0,7,1),  _xlpm.t&lt;=TIME(0,8,19)), 1,
    AND(_xlpm.t&gt;=TIME(0,6,1),  _xlpm.t&lt;=TIME(0,7,0)),  0.8,
    AND(_xlpm.t&gt;=TIME(0,8,20), _xlpm.t&lt;=TIME(0,8,59)), 0.8,
    AND(_xlpm.t&gt;=TIME(0,5,1),  _xlpm.t&lt;=TIME(0,6,0)),  0.5,
    AND(_xlpm.t&gt;=TIME(0,9,0),  _xlpm.t&lt;=TIME(0,9,59)), 0.5,
    TRUE, 0.3
  )
)</f>
        <v>0.3</v>
      </c>
      <c r="P58" s="11">
        <f t="shared" si="9"/>
        <v>0</v>
      </c>
      <c r="Q58" s="11">
        <f t="shared" si="10"/>
        <v>0</v>
      </c>
      <c r="R58" s="11">
        <f t="shared" si="11"/>
        <v>0</v>
      </c>
      <c r="S58" s="11">
        <f t="shared" si="12"/>
        <v>0</v>
      </c>
      <c r="T58" s="11">
        <f t="shared" si="13"/>
        <v>0</v>
      </c>
    </row>
    <row r="59" spans="1:20">
      <c r="A59" s="11" t="s">
        <v>70</v>
      </c>
      <c r="B59" s="11" t="s">
        <v>71</v>
      </c>
      <c r="C59" s="11" t="s">
        <v>22</v>
      </c>
      <c r="D59" s="11">
        <v>31</v>
      </c>
      <c r="E59" s="11">
        <v>10</v>
      </c>
      <c r="F59" s="12" t="s">
        <v>17</v>
      </c>
      <c r="G59" s="11">
        <f t="shared" si="7"/>
        <v>0</v>
      </c>
      <c r="H59" s="13">
        <f>VLOOKUP($D59,'731講義室'!$B$2:$F$34,2,FALSE)</f>
        <v>0</v>
      </c>
      <c r="I59" s="11">
        <f>VLOOKUP($D59,'731講義室'!$B$2:$F$34,3,FALSE)</f>
        <v>0</v>
      </c>
      <c r="J59" s="11">
        <f>VLOOKUP($D59,'731講義室'!$B$2:$F$34,4,FALSE)</f>
        <v>0</v>
      </c>
      <c r="K59" s="11">
        <f>VLOOKUP($D59,'731講義室'!$B$2:$F$34,5,FALSE)</f>
        <v>0</v>
      </c>
      <c r="L59" s="11">
        <f>VLOOKUP($A59,'731講義室'!$G$2:$I$34,3,FALSE)</f>
        <v>0</v>
      </c>
      <c r="M59" s="12">
        <f>VLOOKUP($D59,'731講義室'!$B$2:$J$34,9,FALSE)</f>
        <v>0</v>
      </c>
      <c r="N59" s="14">
        <f t="shared" si="8"/>
        <v>0</v>
      </c>
      <c r="O59" s="13" cm="1">
        <f t="array" ref="O59">_xlfn.LET(
  _xlpm.t, TIME(0, INT($H59/100), MOD($H59,100)),
  _xlfn.IFS(
    AND(_xlpm.t&gt;=TIME(0,7,1),  _xlpm.t&lt;=TIME(0,8,19)), 1,
    AND(_xlpm.t&gt;=TIME(0,6,1),  _xlpm.t&lt;=TIME(0,7,0)),  0.8,
    AND(_xlpm.t&gt;=TIME(0,8,20), _xlpm.t&lt;=TIME(0,8,59)), 0.8,
    AND(_xlpm.t&gt;=TIME(0,5,1),  _xlpm.t&lt;=TIME(0,6,0)),  0.5,
    AND(_xlpm.t&gt;=TIME(0,9,0),  _xlpm.t&lt;=TIME(0,9,59)), 0.5,
    TRUE, 0.3
  )
)</f>
        <v>0.3</v>
      </c>
      <c r="P59" s="11">
        <f t="shared" si="9"/>
        <v>0</v>
      </c>
      <c r="Q59" s="11">
        <f t="shared" si="10"/>
        <v>0</v>
      </c>
      <c r="R59" s="11">
        <f t="shared" si="11"/>
        <v>0</v>
      </c>
      <c r="S59" s="11">
        <f t="shared" si="12"/>
        <v>0</v>
      </c>
      <c r="T59" s="11">
        <f t="shared" si="13"/>
        <v>0</v>
      </c>
    </row>
    <row r="60" spans="1:20">
      <c r="A60" s="11" t="s">
        <v>260</v>
      </c>
      <c r="B60" s="11" t="s">
        <v>261</v>
      </c>
      <c r="C60" s="11" t="s">
        <v>22</v>
      </c>
      <c r="D60" s="11">
        <v>31</v>
      </c>
      <c r="E60" s="11">
        <v>10</v>
      </c>
      <c r="F60" s="12" t="s">
        <v>17</v>
      </c>
      <c r="G60" s="11">
        <f t="shared" si="7"/>
        <v>0</v>
      </c>
      <c r="H60" s="13">
        <f>VLOOKUP($D60,'731講義室'!$B$2:$F$34,2,FALSE)</f>
        <v>0</v>
      </c>
      <c r="I60" s="11">
        <f>VLOOKUP($D60,'731講義室'!$B$2:$F$34,3,FALSE)</f>
        <v>0</v>
      </c>
      <c r="J60" s="11">
        <f>VLOOKUP($D60,'731講義室'!$B$2:$F$34,4,FALSE)</f>
        <v>0</v>
      </c>
      <c r="K60" s="11">
        <f>VLOOKUP($D60,'731講義室'!$B$2:$F$34,5,FALSE)</f>
        <v>0</v>
      </c>
      <c r="L60" s="11">
        <f>VLOOKUP($A60,'731講義室'!$G$2:$I$34,3,FALSE)</f>
        <v>0</v>
      </c>
      <c r="M60" s="12">
        <f>VLOOKUP($D60,'731講義室'!$B$2:$J$34,9,FALSE)</f>
        <v>0</v>
      </c>
      <c r="N60" s="14">
        <f t="shared" si="8"/>
        <v>0</v>
      </c>
      <c r="O60" s="13" cm="1">
        <f t="array" ref="O60">_xlfn.LET(
  _xlpm.t, TIME(0, INT($H60/100), MOD($H60,100)),
  _xlfn.IFS(
    AND(_xlpm.t&gt;=TIME(0,7,1),  _xlpm.t&lt;=TIME(0,8,19)), 1,
    AND(_xlpm.t&gt;=TIME(0,6,1),  _xlpm.t&lt;=TIME(0,7,0)),  0.8,
    AND(_xlpm.t&gt;=TIME(0,8,20), _xlpm.t&lt;=TIME(0,8,59)), 0.8,
    AND(_xlpm.t&gt;=TIME(0,5,1),  _xlpm.t&lt;=TIME(0,6,0)),  0.5,
    AND(_xlpm.t&gt;=TIME(0,9,0),  _xlpm.t&lt;=TIME(0,9,59)), 0.5,
    TRUE, 0.3
  )
)</f>
        <v>0.3</v>
      </c>
      <c r="P60" s="11">
        <f t="shared" si="9"/>
        <v>0</v>
      </c>
      <c r="Q60" s="11">
        <f t="shared" si="10"/>
        <v>0</v>
      </c>
      <c r="R60" s="11">
        <f t="shared" si="11"/>
        <v>0</v>
      </c>
      <c r="S60" s="11">
        <f t="shared" si="12"/>
        <v>0</v>
      </c>
      <c r="T60" s="11">
        <f t="shared" si="13"/>
        <v>0</v>
      </c>
    </row>
    <row r="61" spans="1:20">
      <c r="A61" s="11" t="s">
        <v>262</v>
      </c>
      <c r="B61" s="11" t="s">
        <v>263</v>
      </c>
      <c r="C61" s="11" t="s">
        <v>22</v>
      </c>
      <c r="D61" s="11">
        <v>31</v>
      </c>
      <c r="E61" s="11">
        <v>10</v>
      </c>
      <c r="F61" s="12" t="s">
        <v>17</v>
      </c>
      <c r="G61" s="11">
        <f t="shared" si="7"/>
        <v>0</v>
      </c>
      <c r="H61" s="13">
        <f>VLOOKUP($D61,'731講義室'!$B$2:$F$34,2,FALSE)</f>
        <v>0</v>
      </c>
      <c r="I61" s="11">
        <f>VLOOKUP($D61,'731講義室'!$B$2:$F$34,3,FALSE)</f>
        <v>0</v>
      </c>
      <c r="J61" s="11">
        <f>VLOOKUP($D61,'731講義室'!$B$2:$F$34,4,FALSE)</f>
        <v>0</v>
      </c>
      <c r="K61" s="11">
        <f>VLOOKUP($D61,'731講義室'!$B$2:$F$34,5,FALSE)</f>
        <v>0</v>
      </c>
      <c r="L61" s="11">
        <f>VLOOKUP($A61,'731講義室'!$G$2:$I$34,3,FALSE)</f>
        <v>0</v>
      </c>
      <c r="M61" s="12">
        <f>VLOOKUP($D61,'731講義室'!$B$2:$J$34,9,FALSE)</f>
        <v>0</v>
      </c>
      <c r="N61" s="14">
        <f t="shared" si="8"/>
        <v>0</v>
      </c>
      <c r="O61" s="13" cm="1">
        <f t="array" ref="O61">_xlfn.LET(
  _xlpm.t, TIME(0, INT($H61/100), MOD($H61,100)),
  _xlfn.IFS(
    AND(_xlpm.t&gt;=TIME(0,7,1),  _xlpm.t&lt;=TIME(0,8,19)), 1,
    AND(_xlpm.t&gt;=TIME(0,6,1),  _xlpm.t&lt;=TIME(0,7,0)),  0.8,
    AND(_xlpm.t&gt;=TIME(0,8,20), _xlpm.t&lt;=TIME(0,8,59)), 0.8,
    AND(_xlpm.t&gt;=TIME(0,5,1),  _xlpm.t&lt;=TIME(0,6,0)),  0.5,
    AND(_xlpm.t&gt;=TIME(0,9,0),  _xlpm.t&lt;=TIME(0,9,59)), 0.5,
    TRUE, 0.3
  )
)</f>
        <v>0.3</v>
      </c>
      <c r="P61" s="11">
        <f t="shared" si="9"/>
        <v>0</v>
      </c>
      <c r="Q61" s="11">
        <f t="shared" si="10"/>
        <v>0</v>
      </c>
      <c r="R61" s="11">
        <f t="shared" si="11"/>
        <v>0</v>
      </c>
      <c r="S61" s="11">
        <f t="shared" si="12"/>
        <v>0</v>
      </c>
      <c r="T61" s="11">
        <f t="shared" si="13"/>
        <v>0</v>
      </c>
    </row>
    <row r="62" spans="1:20">
      <c r="A62" s="11" t="s">
        <v>54</v>
      </c>
      <c r="B62" s="11" t="s">
        <v>55</v>
      </c>
      <c r="C62" s="11" t="s">
        <v>22</v>
      </c>
      <c r="D62" s="11">
        <v>7</v>
      </c>
      <c r="E62" s="11">
        <v>7</v>
      </c>
      <c r="F62" s="12" t="s">
        <v>17</v>
      </c>
      <c r="G62" s="11">
        <f t="shared" si="7"/>
        <v>0</v>
      </c>
      <c r="H62" s="13">
        <f>VLOOKUP($D62,'731講義室'!$B$2:$F$34,2,FALSE)</f>
        <v>0</v>
      </c>
      <c r="I62" s="11">
        <f>VLOOKUP($D62,'731講義室'!$B$2:$F$34,3,FALSE)</f>
        <v>0</v>
      </c>
      <c r="J62" s="11">
        <f>VLOOKUP($D62,'731講義室'!$B$2:$F$34,4,FALSE)</f>
        <v>0</v>
      </c>
      <c r="K62" s="11">
        <f>VLOOKUP($D62,'731講義室'!$B$2:$F$34,5,FALSE)</f>
        <v>0</v>
      </c>
      <c r="L62" s="11">
        <f>VLOOKUP($A62,'731講義室'!$G$2:$I$34,3,FALSE)</f>
        <v>0</v>
      </c>
      <c r="M62" s="12">
        <f>VLOOKUP($D62,'731講義室'!$B$2:$J$34,9,FALSE)</f>
        <v>0</v>
      </c>
      <c r="N62" s="14">
        <f t="shared" si="8"/>
        <v>0</v>
      </c>
      <c r="O62" s="13" cm="1">
        <f t="array" ref="O62">_xlfn.LET(
  _xlpm.t, TIME(0, INT($H62/100), MOD($H62,100)),
  _xlfn.IFS(
    AND(_xlpm.t&gt;=TIME(0,7,1),  _xlpm.t&lt;=TIME(0,8,19)), 1,
    AND(_xlpm.t&gt;=TIME(0,6,1),  _xlpm.t&lt;=TIME(0,7,0)),  0.8,
    AND(_xlpm.t&gt;=TIME(0,8,20), _xlpm.t&lt;=TIME(0,8,59)), 0.8,
    AND(_xlpm.t&gt;=TIME(0,5,1),  _xlpm.t&lt;=TIME(0,6,0)),  0.5,
    AND(_xlpm.t&gt;=TIME(0,9,0),  _xlpm.t&lt;=TIME(0,9,59)), 0.5,
    TRUE, 0.3
  )
)</f>
        <v>0.3</v>
      </c>
      <c r="P62" s="11">
        <f t="shared" si="9"/>
        <v>0</v>
      </c>
      <c r="Q62" s="11">
        <f t="shared" si="10"/>
        <v>0</v>
      </c>
      <c r="R62" s="11">
        <f t="shared" si="11"/>
        <v>0</v>
      </c>
      <c r="S62" s="11">
        <f t="shared" si="12"/>
        <v>0</v>
      </c>
      <c r="T62" s="11">
        <f t="shared" si="13"/>
        <v>0</v>
      </c>
    </row>
    <row r="63" spans="1:20">
      <c r="A63" s="11" t="s">
        <v>64</v>
      </c>
      <c r="B63" s="11" t="s">
        <v>65</v>
      </c>
      <c r="C63" s="11" t="s">
        <v>22</v>
      </c>
      <c r="D63" s="11">
        <v>7</v>
      </c>
      <c r="E63" s="11">
        <v>7</v>
      </c>
      <c r="F63" s="12" t="s">
        <v>17</v>
      </c>
      <c r="G63" s="11">
        <f t="shared" si="7"/>
        <v>0</v>
      </c>
      <c r="H63" s="13">
        <f>VLOOKUP($D63,'731講義室'!$B$2:$F$34,2,FALSE)</f>
        <v>0</v>
      </c>
      <c r="I63" s="11">
        <f>VLOOKUP($D63,'731講義室'!$B$2:$F$34,3,FALSE)</f>
        <v>0</v>
      </c>
      <c r="J63" s="11">
        <f>VLOOKUP($D63,'731講義室'!$B$2:$F$34,4,FALSE)</f>
        <v>0</v>
      </c>
      <c r="K63" s="11">
        <f>VLOOKUP($D63,'731講義室'!$B$2:$F$34,5,FALSE)</f>
        <v>0</v>
      </c>
      <c r="L63" s="11">
        <f>VLOOKUP($A63,'731講義室'!$G$2:$I$34,3,FALSE)</f>
        <v>0</v>
      </c>
      <c r="M63" s="12">
        <f>VLOOKUP($D63,'731講義室'!$B$2:$J$34,9,FALSE)</f>
        <v>0</v>
      </c>
      <c r="N63" s="14">
        <f t="shared" si="8"/>
        <v>0</v>
      </c>
      <c r="O63" s="13" cm="1">
        <f t="array" ref="O63">_xlfn.LET(
  _xlpm.t, TIME(0, INT($H63/100), MOD($H63,100)),
  _xlfn.IFS(
    AND(_xlpm.t&gt;=TIME(0,7,1),  _xlpm.t&lt;=TIME(0,8,19)), 1,
    AND(_xlpm.t&gt;=TIME(0,6,1),  _xlpm.t&lt;=TIME(0,7,0)),  0.8,
    AND(_xlpm.t&gt;=TIME(0,8,20), _xlpm.t&lt;=TIME(0,8,59)), 0.8,
    AND(_xlpm.t&gt;=TIME(0,5,1),  _xlpm.t&lt;=TIME(0,6,0)),  0.5,
    AND(_xlpm.t&gt;=TIME(0,9,0),  _xlpm.t&lt;=TIME(0,9,59)), 0.5,
    TRUE, 0.3
  )
)</f>
        <v>0.3</v>
      </c>
      <c r="P63" s="11">
        <f t="shared" si="9"/>
        <v>0</v>
      </c>
      <c r="Q63" s="11">
        <f t="shared" si="10"/>
        <v>0</v>
      </c>
      <c r="R63" s="11">
        <f t="shared" si="11"/>
        <v>0</v>
      </c>
      <c r="S63" s="11">
        <f t="shared" si="12"/>
        <v>0</v>
      </c>
      <c r="T63" s="11">
        <f t="shared" si="13"/>
        <v>0</v>
      </c>
    </row>
    <row r="64" spans="1:20">
      <c r="A64" s="11" t="s">
        <v>188</v>
      </c>
      <c r="B64" s="11" t="s">
        <v>189</v>
      </c>
      <c r="C64" s="11" t="s">
        <v>22</v>
      </c>
      <c r="D64" s="11">
        <v>7</v>
      </c>
      <c r="E64" s="11">
        <v>7</v>
      </c>
      <c r="F64" s="12" t="s">
        <v>17</v>
      </c>
      <c r="G64" s="11">
        <f t="shared" si="7"/>
        <v>0</v>
      </c>
      <c r="H64" s="13">
        <f>VLOOKUP($D64,'731講義室'!$B$2:$F$34,2,FALSE)</f>
        <v>0</v>
      </c>
      <c r="I64" s="11">
        <f>VLOOKUP($D64,'731講義室'!$B$2:$F$34,3,FALSE)</f>
        <v>0</v>
      </c>
      <c r="J64" s="11">
        <f>VLOOKUP($D64,'731講義室'!$B$2:$F$34,4,FALSE)</f>
        <v>0</v>
      </c>
      <c r="K64" s="11">
        <f>VLOOKUP($D64,'731講義室'!$B$2:$F$34,5,FALSE)</f>
        <v>0</v>
      </c>
      <c r="L64" s="11">
        <f>VLOOKUP($A64,'731講義室'!$G$2:$I$34,3,FALSE)</f>
        <v>0</v>
      </c>
      <c r="M64" s="12">
        <f>VLOOKUP($D64,'731講義室'!$B$2:$J$34,9,FALSE)</f>
        <v>0</v>
      </c>
      <c r="N64" s="14">
        <f t="shared" si="8"/>
        <v>0</v>
      </c>
      <c r="O64" s="13" cm="1">
        <f t="array" ref="O64">_xlfn.LET(
  _xlpm.t, TIME(0, INT($H64/100), MOD($H64,100)),
  _xlfn.IFS(
    AND(_xlpm.t&gt;=TIME(0,7,1),  _xlpm.t&lt;=TIME(0,8,19)), 1,
    AND(_xlpm.t&gt;=TIME(0,6,1),  _xlpm.t&lt;=TIME(0,7,0)),  0.8,
    AND(_xlpm.t&gt;=TIME(0,8,20), _xlpm.t&lt;=TIME(0,8,59)), 0.8,
    AND(_xlpm.t&gt;=TIME(0,5,1),  _xlpm.t&lt;=TIME(0,6,0)),  0.5,
    AND(_xlpm.t&gt;=TIME(0,9,0),  _xlpm.t&lt;=TIME(0,9,59)), 0.5,
    TRUE, 0.3
  )
)</f>
        <v>0.3</v>
      </c>
      <c r="P64" s="11">
        <f t="shared" si="9"/>
        <v>0</v>
      </c>
      <c r="Q64" s="11">
        <f t="shared" si="10"/>
        <v>0</v>
      </c>
      <c r="R64" s="11">
        <f t="shared" si="11"/>
        <v>0</v>
      </c>
      <c r="S64" s="11">
        <f t="shared" si="12"/>
        <v>0</v>
      </c>
      <c r="T64" s="11">
        <f t="shared" si="13"/>
        <v>0</v>
      </c>
    </row>
    <row r="65" spans="1:20">
      <c r="A65" s="11" t="s">
        <v>128</v>
      </c>
      <c r="B65" s="11" t="s">
        <v>129</v>
      </c>
      <c r="C65" s="11" t="s">
        <v>22</v>
      </c>
      <c r="D65" s="11">
        <v>4</v>
      </c>
      <c r="E65" s="11">
        <v>2</v>
      </c>
      <c r="F65" s="12" t="s">
        <v>17</v>
      </c>
      <c r="G65" s="11">
        <f t="shared" si="7"/>
        <v>0</v>
      </c>
      <c r="H65" s="13">
        <f>VLOOKUP($D65,'731講義室'!$B$2:$F$34,2,FALSE)</f>
        <v>0</v>
      </c>
      <c r="I65" s="11">
        <f>VLOOKUP($D65,'731講義室'!$B$2:$F$34,3,FALSE)</f>
        <v>0</v>
      </c>
      <c r="J65" s="11">
        <f>VLOOKUP($D65,'731講義室'!$B$2:$F$34,4,FALSE)</f>
        <v>0</v>
      </c>
      <c r="K65" s="11">
        <f>VLOOKUP($D65,'731講義室'!$B$2:$F$34,5,FALSE)</f>
        <v>0</v>
      </c>
      <c r="L65" s="11">
        <f>VLOOKUP($A65,'731講義室'!$G$2:$I$34,3,FALSE)</f>
        <v>0</v>
      </c>
      <c r="M65" s="12">
        <f>VLOOKUP($D65,'731講義室'!$B$2:$J$34,9,FALSE)</f>
        <v>0</v>
      </c>
      <c r="N65" s="14">
        <f t="shared" si="8"/>
        <v>0</v>
      </c>
      <c r="O65" s="13" cm="1">
        <f t="array" ref="O65">_xlfn.LET(
  _xlpm.t, TIME(0, INT($H65/100), MOD($H65,100)),
  _xlfn.IFS(
    AND(_xlpm.t&gt;=TIME(0,7,1),  _xlpm.t&lt;=TIME(0,8,19)), 1,
    AND(_xlpm.t&gt;=TIME(0,6,1),  _xlpm.t&lt;=TIME(0,7,0)),  0.8,
    AND(_xlpm.t&gt;=TIME(0,8,20), _xlpm.t&lt;=TIME(0,8,59)), 0.8,
    AND(_xlpm.t&gt;=TIME(0,5,1),  _xlpm.t&lt;=TIME(0,6,0)),  0.5,
    AND(_xlpm.t&gt;=TIME(0,9,0),  _xlpm.t&lt;=TIME(0,9,59)), 0.5,
    TRUE, 0.3
  )
)</f>
        <v>0.3</v>
      </c>
      <c r="P65" s="11">
        <f t="shared" si="9"/>
        <v>0</v>
      </c>
      <c r="Q65" s="11">
        <f t="shared" si="10"/>
        <v>0</v>
      </c>
      <c r="R65" s="11">
        <f t="shared" si="11"/>
        <v>0</v>
      </c>
      <c r="S65" s="11">
        <f t="shared" si="12"/>
        <v>0</v>
      </c>
      <c r="T65" s="11">
        <f t="shared" si="13"/>
        <v>0</v>
      </c>
    </row>
    <row r="66" spans="1:20">
      <c r="A66" s="11" t="s">
        <v>176</v>
      </c>
      <c r="B66" s="11" t="s">
        <v>177</v>
      </c>
      <c r="C66" s="11" t="s">
        <v>22</v>
      </c>
      <c r="D66" s="11">
        <v>4</v>
      </c>
      <c r="E66" s="11">
        <v>2</v>
      </c>
      <c r="F66" s="12" t="s">
        <v>17</v>
      </c>
      <c r="G66" s="11">
        <f t="shared" ref="G66:G97" si="14">SUM($P66:$T66)*$O66</f>
        <v>0</v>
      </c>
      <c r="H66" s="13">
        <f>VLOOKUP($D66,'731講義室'!$B$2:$F$34,2,FALSE)</f>
        <v>0</v>
      </c>
      <c r="I66" s="11">
        <f>VLOOKUP($D66,'731講義室'!$B$2:$F$34,3,FALSE)</f>
        <v>0</v>
      </c>
      <c r="J66" s="11">
        <f>VLOOKUP($D66,'731講義室'!$B$2:$F$34,4,FALSE)</f>
        <v>0</v>
      </c>
      <c r="K66" s="11">
        <f>VLOOKUP($D66,'731講義室'!$B$2:$F$34,5,FALSE)</f>
        <v>0</v>
      </c>
      <c r="L66" s="11">
        <f>VLOOKUP($A66,'731講義室'!$G$2:$I$34,3,FALSE)</f>
        <v>0</v>
      </c>
      <c r="M66" s="12">
        <f>VLOOKUP($D66,'731講義室'!$B$2:$J$34,9,FALSE)</f>
        <v>0</v>
      </c>
      <c r="N66" s="14">
        <f t="shared" ref="N66:N97" si="15">TIME(0, INT($H66/100), MOD($H66,100))</f>
        <v>0</v>
      </c>
      <c r="O66" s="13" cm="1">
        <f t="array" ref="O66">_xlfn.LET(
  _xlpm.t, TIME(0, INT($H66/100), MOD($H66,100)),
  _xlfn.IFS(
    AND(_xlpm.t&gt;=TIME(0,7,1),  _xlpm.t&lt;=TIME(0,8,19)), 1,
    AND(_xlpm.t&gt;=TIME(0,6,1),  _xlpm.t&lt;=TIME(0,7,0)),  0.8,
    AND(_xlpm.t&gt;=TIME(0,8,20), _xlpm.t&lt;=TIME(0,8,59)), 0.8,
    AND(_xlpm.t&gt;=TIME(0,5,1),  _xlpm.t&lt;=TIME(0,6,0)),  0.5,
    AND(_xlpm.t&gt;=TIME(0,9,0),  _xlpm.t&lt;=TIME(0,9,59)), 0.5,
    TRUE, 0.3
  )
)</f>
        <v>0.3</v>
      </c>
      <c r="P66" s="11">
        <f t="shared" ref="P66:P97" si="16">VALUE(LEFT(I66,1))</f>
        <v>0</v>
      </c>
      <c r="Q66" s="11">
        <f t="shared" ref="Q66:Q97" si="17">VALUE(LEFT(J66,1))</f>
        <v>0</v>
      </c>
      <c r="R66" s="11">
        <f t="shared" ref="R66:R97" si="18">VALUE(LEFT(K66,1))</f>
        <v>0</v>
      </c>
      <c r="S66" s="11">
        <f t="shared" ref="S66:S97" si="19">VALUE(LEFT(L66,1))</f>
        <v>0</v>
      </c>
      <c r="T66" s="11">
        <f t="shared" ref="T66:T97" si="20">VALUE(LEFT(M66,1))</f>
        <v>0</v>
      </c>
    </row>
    <row r="67" spans="1:20">
      <c r="A67" s="11" t="s">
        <v>236</v>
      </c>
      <c r="B67" s="11" t="s">
        <v>237</v>
      </c>
      <c r="C67" s="11" t="s">
        <v>22</v>
      </c>
      <c r="D67" s="11">
        <v>4</v>
      </c>
      <c r="E67" s="11">
        <v>2</v>
      </c>
      <c r="F67" s="12" t="s">
        <v>17</v>
      </c>
      <c r="G67" s="11">
        <f t="shared" si="14"/>
        <v>0</v>
      </c>
      <c r="H67" s="13">
        <f>VLOOKUP($D67,'731講義室'!$B$2:$F$34,2,FALSE)</f>
        <v>0</v>
      </c>
      <c r="I67" s="11">
        <f>VLOOKUP($D67,'731講義室'!$B$2:$F$34,3,FALSE)</f>
        <v>0</v>
      </c>
      <c r="J67" s="11">
        <f>VLOOKUP($D67,'731講義室'!$B$2:$F$34,4,FALSE)</f>
        <v>0</v>
      </c>
      <c r="K67" s="11">
        <f>VLOOKUP($D67,'731講義室'!$B$2:$F$34,5,FALSE)</f>
        <v>0</v>
      </c>
      <c r="L67" s="11">
        <f>VLOOKUP($A67,'731講義室'!$G$2:$I$34,3,FALSE)</f>
        <v>0</v>
      </c>
      <c r="M67" s="12">
        <f>VLOOKUP($D67,'731講義室'!$B$2:$J$34,9,FALSE)</f>
        <v>0</v>
      </c>
      <c r="N67" s="14">
        <f t="shared" si="15"/>
        <v>0</v>
      </c>
      <c r="O67" s="13" cm="1">
        <f t="array" ref="O67">_xlfn.LET(
  _xlpm.t, TIME(0, INT($H67/100), MOD($H67,100)),
  _xlfn.IFS(
    AND(_xlpm.t&gt;=TIME(0,7,1),  _xlpm.t&lt;=TIME(0,8,19)), 1,
    AND(_xlpm.t&gt;=TIME(0,6,1),  _xlpm.t&lt;=TIME(0,7,0)),  0.8,
    AND(_xlpm.t&gt;=TIME(0,8,20), _xlpm.t&lt;=TIME(0,8,59)), 0.8,
    AND(_xlpm.t&gt;=TIME(0,5,1),  _xlpm.t&lt;=TIME(0,6,0)),  0.5,
    AND(_xlpm.t&gt;=TIME(0,9,0),  _xlpm.t&lt;=TIME(0,9,59)), 0.5,
    TRUE, 0.3
  )
)</f>
        <v>0.3</v>
      </c>
      <c r="P67" s="11">
        <f t="shared" si="16"/>
        <v>0</v>
      </c>
      <c r="Q67" s="11">
        <f t="shared" si="17"/>
        <v>0</v>
      </c>
      <c r="R67" s="11">
        <f t="shared" si="18"/>
        <v>0</v>
      </c>
      <c r="S67" s="11">
        <f t="shared" si="19"/>
        <v>0</v>
      </c>
      <c r="T67" s="11">
        <f t="shared" si="20"/>
        <v>0</v>
      </c>
    </row>
    <row r="68" spans="1:20">
      <c r="A68" s="11" t="s">
        <v>204</v>
      </c>
      <c r="B68" s="11" t="s">
        <v>205</v>
      </c>
      <c r="C68" s="11" t="s">
        <v>22</v>
      </c>
      <c r="D68" s="11">
        <v>28</v>
      </c>
      <c r="E68" s="11">
        <v>42</v>
      </c>
      <c r="F68" s="12" t="s">
        <v>16</v>
      </c>
      <c r="G68" s="11">
        <f t="shared" si="14"/>
        <v>0</v>
      </c>
      <c r="H68" s="13">
        <f>VLOOKUP($D68,'732講義室'!$B$2:$F$34,2,FALSE)</f>
        <v>0</v>
      </c>
      <c r="I68" s="11">
        <f>VLOOKUP($D68,'732講義室'!$B$2:$F$34,3,FALSE)</f>
        <v>0</v>
      </c>
      <c r="J68" s="11">
        <f>VLOOKUP($D68,'732講義室'!$B$2:$F$34,4,FALSE)</f>
        <v>0</v>
      </c>
      <c r="K68" s="11">
        <f>VLOOKUP($D68,'732講義室'!$B$2:$F$34,5,FALSE)</f>
        <v>0</v>
      </c>
      <c r="L68" s="11">
        <f>VLOOKUP($A68,'732講義室'!$G$2:$I$34,3,FALSE)</f>
        <v>0</v>
      </c>
      <c r="M68" s="12">
        <f>VLOOKUP($D68,'732講義室'!$B$2:$J$34,9,FALSE)</f>
        <v>0</v>
      </c>
      <c r="N68" s="14">
        <f t="shared" si="15"/>
        <v>0</v>
      </c>
      <c r="O68" s="13" cm="1">
        <f t="array" ref="O68">_xlfn.LET(
  _xlpm.t, TIME(0, INT($H68/100), MOD($H68,100)),
  _xlfn.IFS(
    AND(_xlpm.t&gt;=TIME(0,7,1),  _xlpm.t&lt;=TIME(0,8,19)), 1,
    AND(_xlpm.t&gt;=TIME(0,6,1),  _xlpm.t&lt;=TIME(0,7,0)),  0.8,
    AND(_xlpm.t&gt;=TIME(0,8,20), _xlpm.t&lt;=TIME(0,8,59)), 0.8,
    AND(_xlpm.t&gt;=TIME(0,5,1),  _xlpm.t&lt;=TIME(0,6,0)),  0.5,
    AND(_xlpm.t&gt;=TIME(0,9,0),  _xlpm.t&lt;=TIME(0,9,59)), 0.5,
    TRUE, 0.3
  )
)</f>
        <v>0.3</v>
      </c>
      <c r="P68" s="11">
        <f t="shared" si="16"/>
        <v>0</v>
      </c>
      <c r="Q68" s="11">
        <f t="shared" si="17"/>
        <v>0</v>
      </c>
      <c r="R68" s="11">
        <f t="shared" si="18"/>
        <v>0</v>
      </c>
      <c r="S68" s="11">
        <f t="shared" si="19"/>
        <v>0</v>
      </c>
      <c r="T68" s="11">
        <f t="shared" si="20"/>
        <v>0</v>
      </c>
    </row>
    <row r="69" spans="1:20">
      <c r="A69" s="11" t="s">
        <v>214</v>
      </c>
      <c r="B69" s="11" t="s">
        <v>215</v>
      </c>
      <c r="C69" s="11" t="s">
        <v>22</v>
      </c>
      <c r="D69" s="11">
        <v>28</v>
      </c>
      <c r="E69" s="11">
        <v>42</v>
      </c>
      <c r="F69" s="12" t="s">
        <v>16</v>
      </c>
      <c r="G69" s="11">
        <f t="shared" si="14"/>
        <v>0</v>
      </c>
      <c r="H69" s="13">
        <f>VLOOKUP($D69,'732講義室'!$B$2:$F$34,2,FALSE)</f>
        <v>0</v>
      </c>
      <c r="I69" s="11">
        <f>VLOOKUP($D69,'732講義室'!$B$2:$F$34,3,FALSE)</f>
        <v>0</v>
      </c>
      <c r="J69" s="11">
        <f>VLOOKUP($D69,'732講義室'!$B$2:$F$34,4,FALSE)</f>
        <v>0</v>
      </c>
      <c r="K69" s="11">
        <f>VLOOKUP($D69,'732講義室'!$B$2:$F$34,5,FALSE)</f>
        <v>0</v>
      </c>
      <c r="L69" s="11">
        <f>VLOOKUP($A69,'732講義室'!$G$2:$I$34,3,FALSE)</f>
        <v>0</v>
      </c>
      <c r="M69" s="12">
        <f>VLOOKUP($D69,'732講義室'!$B$2:$J$34,9,FALSE)</f>
        <v>0</v>
      </c>
      <c r="N69" s="14">
        <f t="shared" si="15"/>
        <v>0</v>
      </c>
      <c r="O69" s="13" cm="1">
        <f t="array" ref="O69">_xlfn.LET(
  _xlpm.t, TIME(0, INT($H69/100), MOD($H69,100)),
  _xlfn.IFS(
    AND(_xlpm.t&gt;=TIME(0,7,1),  _xlpm.t&lt;=TIME(0,8,19)), 1,
    AND(_xlpm.t&gt;=TIME(0,6,1),  _xlpm.t&lt;=TIME(0,7,0)),  0.8,
    AND(_xlpm.t&gt;=TIME(0,8,20), _xlpm.t&lt;=TIME(0,8,59)), 0.8,
    AND(_xlpm.t&gt;=TIME(0,5,1),  _xlpm.t&lt;=TIME(0,6,0)),  0.5,
    AND(_xlpm.t&gt;=TIME(0,9,0),  _xlpm.t&lt;=TIME(0,9,59)), 0.5,
    TRUE, 0.3
  )
)</f>
        <v>0.3</v>
      </c>
      <c r="P69" s="11">
        <f t="shared" si="16"/>
        <v>0</v>
      </c>
      <c r="Q69" s="11">
        <f t="shared" si="17"/>
        <v>0</v>
      </c>
      <c r="R69" s="11">
        <f t="shared" si="18"/>
        <v>0</v>
      </c>
      <c r="S69" s="11">
        <f t="shared" si="19"/>
        <v>0</v>
      </c>
      <c r="T69" s="11">
        <f t="shared" si="20"/>
        <v>0</v>
      </c>
    </row>
    <row r="70" spans="1:20">
      <c r="A70" s="11" t="s">
        <v>246</v>
      </c>
      <c r="B70" s="11" t="s">
        <v>247</v>
      </c>
      <c r="C70" s="11" t="s">
        <v>22</v>
      </c>
      <c r="D70" s="11">
        <v>28</v>
      </c>
      <c r="E70" s="11">
        <v>42</v>
      </c>
      <c r="F70" s="12" t="s">
        <v>16</v>
      </c>
      <c r="G70" s="11">
        <f t="shared" si="14"/>
        <v>0</v>
      </c>
      <c r="H70" s="13">
        <f>VLOOKUP($D70,'732講義室'!$B$2:$F$34,2,FALSE)</f>
        <v>0</v>
      </c>
      <c r="I70" s="11">
        <f>VLOOKUP($D70,'732講義室'!$B$2:$F$34,3,FALSE)</f>
        <v>0</v>
      </c>
      <c r="J70" s="11">
        <f>VLOOKUP($D70,'732講義室'!$B$2:$F$34,4,FALSE)</f>
        <v>0</v>
      </c>
      <c r="K70" s="11">
        <f>VLOOKUP($D70,'732講義室'!$B$2:$F$34,5,FALSE)</f>
        <v>0</v>
      </c>
      <c r="L70" s="11">
        <f>VLOOKUP($A70,'732講義室'!$G$2:$I$34,3,FALSE)</f>
        <v>0</v>
      </c>
      <c r="M70" s="12">
        <f>VLOOKUP($D70,'732講義室'!$B$2:$J$34,9,FALSE)</f>
        <v>0</v>
      </c>
      <c r="N70" s="14">
        <f t="shared" si="15"/>
        <v>0</v>
      </c>
      <c r="O70" s="13" cm="1">
        <f t="array" ref="O70">_xlfn.LET(
  _xlpm.t, TIME(0, INT($H70/100), MOD($H70,100)),
  _xlfn.IFS(
    AND(_xlpm.t&gt;=TIME(0,7,1),  _xlpm.t&lt;=TIME(0,8,19)), 1,
    AND(_xlpm.t&gt;=TIME(0,6,1),  _xlpm.t&lt;=TIME(0,7,0)),  0.8,
    AND(_xlpm.t&gt;=TIME(0,8,20), _xlpm.t&lt;=TIME(0,8,59)), 0.8,
    AND(_xlpm.t&gt;=TIME(0,5,1),  _xlpm.t&lt;=TIME(0,6,0)),  0.5,
    AND(_xlpm.t&gt;=TIME(0,9,0),  _xlpm.t&lt;=TIME(0,9,59)), 0.5,
    TRUE, 0.3
  )
)</f>
        <v>0.3</v>
      </c>
      <c r="P70" s="11">
        <f t="shared" si="16"/>
        <v>0</v>
      </c>
      <c r="Q70" s="11">
        <f t="shared" si="17"/>
        <v>0</v>
      </c>
      <c r="R70" s="11">
        <f t="shared" si="18"/>
        <v>0</v>
      </c>
      <c r="S70" s="11">
        <f t="shared" si="19"/>
        <v>0</v>
      </c>
      <c r="T70" s="11">
        <f t="shared" si="20"/>
        <v>0</v>
      </c>
    </row>
    <row r="71" spans="1:20">
      <c r="A71" s="11" t="s">
        <v>42</v>
      </c>
      <c r="B71" s="11" t="s">
        <v>43</v>
      </c>
      <c r="C71" s="11" t="s">
        <v>22</v>
      </c>
      <c r="D71" s="11">
        <v>39</v>
      </c>
      <c r="E71" s="11">
        <v>37</v>
      </c>
      <c r="F71" s="12" t="s">
        <v>16</v>
      </c>
      <c r="G71" s="11">
        <f t="shared" si="14"/>
        <v>0</v>
      </c>
      <c r="H71" s="13">
        <f>VLOOKUP($D71,'732講義室'!$B$2:$F$34,2,FALSE)</f>
        <v>0</v>
      </c>
      <c r="I71" s="11">
        <f>VLOOKUP($D71,'732講義室'!$B$2:$F$34,3,FALSE)</f>
        <v>0</v>
      </c>
      <c r="J71" s="11">
        <f>VLOOKUP($D71,'732講義室'!$B$2:$F$34,4,FALSE)</f>
        <v>0</v>
      </c>
      <c r="K71" s="11">
        <f>VLOOKUP($D71,'732講義室'!$B$2:$F$34,5,FALSE)</f>
        <v>0</v>
      </c>
      <c r="L71" s="11">
        <f>VLOOKUP($A71,'732講義室'!$G$2:$I$34,3,FALSE)</f>
        <v>0</v>
      </c>
      <c r="M71" s="12">
        <f>VLOOKUP($D71,'732講義室'!$B$2:$J$34,9,FALSE)</f>
        <v>0</v>
      </c>
      <c r="N71" s="14">
        <f t="shared" si="15"/>
        <v>0</v>
      </c>
      <c r="O71" s="13" cm="1">
        <f t="array" ref="O71">_xlfn.LET(
  _xlpm.t, TIME(0, INT($H71/100), MOD($H71,100)),
  _xlfn.IFS(
    AND(_xlpm.t&gt;=TIME(0,7,1),  _xlpm.t&lt;=TIME(0,8,19)), 1,
    AND(_xlpm.t&gt;=TIME(0,6,1),  _xlpm.t&lt;=TIME(0,7,0)),  0.8,
    AND(_xlpm.t&gt;=TIME(0,8,20), _xlpm.t&lt;=TIME(0,8,59)), 0.8,
    AND(_xlpm.t&gt;=TIME(0,5,1),  _xlpm.t&lt;=TIME(0,6,0)),  0.5,
    AND(_xlpm.t&gt;=TIME(0,9,0),  _xlpm.t&lt;=TIME(0,9,59)), 0.5,
    TRUE, 0.3
  )
)</f>
        <v>0.3</v>
      </c>
      <c r="P71" s="11">
        <f t="shared" si="16"/>
        <v>0</v>
      </c>
      <c r="Q71" s="11">
        <f t="shared" si="17"/>
        <v>0</v>
      </c>
      <c r="R71" s="11">
        <f t="shared" si="18"/>
        <v>0</v>
      </c>
      <c r="S71" s="11">
        <f t="shared" si="19"/>
        <v>0</v>
      </c>
      <c r="T71" s="11">
        <f t="shared" si="20"/>
        <v>0</v>
      </c>
    </row>
    <row r="72" spans="1:20">
      <c r="A72" s="11" t="s">
        <v>104</v>
      </c>
      <c r="B72" s="11" t="s">
        <v>105</v>
      </c>
      <c r="C72" s="11" t="s">
        <v>22</v>
      </c>
      <c r="D72" s="11">
        <v>39</v>
      </c>
      <c r="E72" s="11">
        <v>37</v>
      </c>
      <c r="F72" s="12" t="s">
        <v>16</v>
      </c>
      <c r="G72" s="11">
        <f t="shared" si="14"/>
        <v>0</v>
      </c>
      <c r="H72" s="13">
        <f>VLOOKUP($D72,'732講義室'!$B$2:$F$34,2,FALSE)</f>
        <v>0</v>
      </c>
      <c r="I72" s="11">
        <f>VLOOKUP($D72,'732講義室'!$B$2:$F$34,3,FALSE)</f>
        <v>0</v>
      </c>
      <c r="J72" s="11">
        <f>VLOOKUP($D72,'732講義室'!$B$2:$F$34,4,FALSE)</f>
        <v>0</v>
      </c>
      <c r="K72" s="11">
        <f>VLOOKUP($D72,'732講義室'!$B$2:$F$34,5,FALSE)</f>
        <v>0</v>
      </c>
      <c r="L72" s="11">
        <f>VLOOKUP($A72,'732講義室'!$G$2:$I$34,3,FALSE)</f>
        <v>0</v>
      </c>
      <c r="M72" s="12">
        <f>VLOOKUP($D72,'732講義室'!$B$2:$J$34,9,FALSE)</f>
        <v>0</v>
      </c>
      <c r="N72" s="14">
        <f t="shared" si="15"/>
        <v>0</v>
      </c>
      <c r="O72" s="13" cm="1">
        <f t="array" ref="O72">_xlfn.LET(
  _xlpm.t, TIME(0, INT($H72/100), MOD($H72,100)),
  _xlfn.IFS(
    AND(_xlpm.t&gt;=TIME(0,7,1),  _xlpm.t&lt;=TIME(0,8,19)), 1,
    AND(_xlpm.t&gt;=TIME(0,6,1),  _xlpm.t&lt;=TIME(0,7,0)),  0.8,
    AND(_xlpm.t&gt;=TIME(0,8,20), _xlpm.t&lt;=TIME(0,8,59)), 0.8,
    AND(_xlpm.t&gt;=TIME(0,5,1),  _xlpm.t&lt;=TIME(0,6,0)),  0.5,
    AND(_xlpm.t&gt;=TIME(0,9,0),  _xlpm.t&lt;=TIME(0,9,59)), 0.5,
    TRUE, 0.3
  )
)</f>
        <v>0.3</v>
      </c>
      <c r="P72" s="11">
        <f t="shared" si="16"/>
        <v>0</v>
      </c>
      <c r="Q72" s="11">
        <f t="shared" si="17"/>
        <v>0</v>
      </c>
      <c r="R72" s="11">
        <f t="shared" si="18"/>
        <v>0</v>
      </c>
      <c r="S72" s="11">
        <f t="shared" si="19"/>
        <v>0</v>
      </c>
      <c r="T72" s="11">
        <f t="shared" si="20"/>
        <v>0</v>
      </c>
    </row>
    <row r="73" spans="1:20">
      <c r="A73" s="11" t="s">
        <v>228</v>
      </c>
      <c r="B73" s="11" t="s">
        <v>229</v>
      </c>
      <c r="C73" s="11" t="s">
        <v>22</v>
      </c>
      <c r="D73" s="11">
        <v>39</v>
      </c>
      <c r="E73" s="11">
        <v>37</v>
      </c>
      <c r="F73" s="12" t="s">
        <v>16</v>
      </c>
      <c r="G73" s="11">
        <f t="shared" si="14"/>
        <v>0</v>
      </c>
      <c r="H73" s="13">
        <f>VLOOKUP($D73,'732講義室'!$B$2:$F$34,2,FALSE)</f>
        <v>0</v>
      </c>
      <c r="I73" s="11">
        <f>VLOOKUP($D73,'732講義室'!$B$2:$F$34,3,FALSE)</f>
        <v>0</v>
      </c>
      <c r="J73" s="11">
        <f>VLOOKUP($D73,'732講義室'!$B$2:$F$34,4,FALSE)</f>
        <v>0</v>
      </c>
      <c r="K73" s="11">
        <f>VLOOKUP($D73,'732講義室'!$B$2:$F$34,5,FALSE)</f>
        <v>0</v>
      </c>
      <c r="L73" s="11">
        <f>VLOOKUP($A73,'732講義室'!$G$2:$I$34,3,FALSE)</f>
        <v>0</v>
      </c>
      <c r="M73" s="12">
        <f>VLOOKUP($D73,'732講義室'!$B$2:$J$34,9,FALSE)</f>
        <v>0</v>
      </c>
      <c r="N73" s="14">
        <f t="shared" si="15"/>
        <v>0</v>
      </c>
      <c r="O73" s="13" cm="1">
        <f t="array" ref="O73">_xlfn.LET(
  _xlpm.t, TIME(0, INT($H73/100), MOD($H73,100)),
  _xlfn.IFS(
    AND(_xlpm.t&gt;=TIME(0,7,1),  _xlpm.t&lt;=TIME(0,8,19)), 1,
    AND(_xlpm.t&gt;=TIME(0,6,1),  _xlpm.t&lt;=TIME(0,7,0)),  0.8,
    AND(_xlpm.t&gt;=TIME(0,8,20), _xlpm.t&lt;=TIME(0,8,59)), 0.8,
    AND(_xlpm.t&gt;=TIME(0,5,1),  _xlpm.t&lt;=TIME(0,6,0)),  0.5,
    AND(_xlpm.t&gt;=TIME(0,9,0),  _xlpm.t&lt;=TIME(0,9,59)), 0.5,
    TRUE, 0.3
  )
)</f>
        <v>0.3</v>
      </c>
      <c r="P73" s="11">
        <f t="shared" si="16"/>
        <v>0</v>
      </c>
      <c r="Q73" s="11">
        <f t="shared" si="17"/>
        <v>0</v>
      </c>
      <c r="R73" s="11">
        <f t="shared" si="18"/>
        <v>0</v>
      </c>
      <c r="S73" s="11">
        <f t="shared" si="19"/>
        <v>0</v>
      </c>
      <c r="T73" s="11">
        <f t="shared" si="20"/>
        <v>0</v>
      </c>
    </row>
    <row r="74" spans="1:20">
      <c r="A74" s="11" t="s">
        <v>46</v>
      </c>
      <c r="B74" s="11" t="s">
        <v>47</v>
      </c>
      <c r="C74" s="11" t="s">
        <v>22</v>
      </c>
      <c r="D74" s="11">
        <v>21</v>
      </c>
      <c r="E74" s="11">
        <v>36</v>
      </c>
      <c r="F74" s="12" t="s">
        <v>16</v>
      </c>
      <c r="G74" s="11">
        <f t="shared" si="14"/>
        <v>0</v>
      </c>
      <c r="H74" s="13">
        <f>VLOOKUP($D74,'732講義室'!$B$2:$F$34,2,FALSE)</f>
        <v>0</v>
      </c>
      <c r="I74" s="11">
        <f>VLOOKUP($D74,'732講義室'!$B$2:$F$34,3,FALSE)</f>
        <v>0</v>
      </c>
      <c r="J74" s="11">
        <f>VLOOKUP($D74,'732講義室'!$B$2:$F$34,4,FALSE)</f>
        <v>0</v>
      </c>
      <c r="K74" s="11">
        <f>VLOOKUP($D74,'732講義室'!$B$2:$F$34,5,FALSE)</f>
        <v>0</v>
      </c>
      <c r="L74" s="11">
        <f>VLOOKUP($A74,'732講義室'!$G$2:$I$34,3,FALSE)</f>
        <v>0</v>
      </c>
      <c r="M74" s="12">
        <f>VLOOKUP($D74,'732講義室'!$B$2:$J$34,9,FALSE)</f>
        <v>0</v>
      </c>
      <c r="N74" s="14">
        <f t="shared" si="15"/>
        <v>0</v>
      </c>
      <c r="O74" s="13" cm="1">
        <f t="array" ref="O74">_xlfn.LET(
  _xlpm.t, TIME(0, INT($H74/100), MOD($H74,100)),
  _xlfn.IFS(
    AND(_xlpm.t&gt;=TIME(0,7,1),  _xlpm.t&lt;=TIME(0,8,19)), 1,
    AND(_xlpm.t&gt;=TIME(0,6,1),  _xlpm.t&lt;=TIME(0,7,0)),  0.8,
    AND(_xlpm.t&gt;=TIME(0,8,20), _xlpm.t&lt;=TIME(0,8,59)), 0.8,
    AND(_xlpm.t&gt;=TIME(0,5,1),  _xlpm.t&lt;=TIME(0,6,0)),  0.5,
    AND(_xlpm.t&gt;=TIME(0,9,0),  _xlpm.t&lt;=TIME(0,9,59)), 0.5,
    TRUE, 0.3
  )
)</f>
        <v>0.3</v>
      </c>
      <c r="P74" s="11">
        <f t="shared" si="16"/>
        <v>0</v>
      </c>
      <c r="Q74" s="11">
        <f t="shared" si="17"/>
        <v>0</v>
      </c>
      <c r="R74" s="11">
        <f t="shared" si="18"/>
        <v>0</v>
      </c>
      <c r="S74" s="11">
        <f t="shared" si="19"/>
        <v>0</v>
      </c>
      <c r="T74" s="11">
        <f t="shared" si="20"/>
        <v>0</v>
      </c>
    </row>
    <row r="75" spans="1:20">
      <c r="A75" s="11" t="s">
        <v>140</v>
      </c>
      <c r="B75" s="11" t="s">
        <v>141</v>
      </c>
      <c r="C75" s="11" t="s">
        <v>22</v>
      </c>
      <c r="D75" s="11">
        <v>21</v>
      </c>
      <c r="E75" s="11">
        <v>36</v>
      </c>
      <c r="F75" s="12" t="s">
        <v>16</v>
      </c>
      <c r="G75" s="11">
        <f t="shared" si="14"/>
        <v>0</v>
      </c>
      <c r="H75" s="13">
        <f>VLOOKUP($D75,'732講義室'!$B$2:$F$34,2,FALSE)</f>
        <v>0</v>
      </c>
      <c r="I75" s="11">
        <f>VLOOKUP($D75,'732講義室'!$B$2:$F$34,3,FALSE)</f>
        <v>0</v>
      </c>
      <c r="J75" s="11">
        <f>VLOOKUP($D75,'732講義室'!$B$2:$F$34,4,FALSE)</f>
        <v>0</v>
      </c>
      <c r="K75" s="11">
        <f>VLOOKUP($D75,'732講義室'!$B$2:$F$34,5,FALSE)</f>
        <v>0</v>
      </c>
      <c r="L75" s="11">
        <f>VLOOKUP($A75,'732講義室'!$G$2:$I$34,3,FALSE)</f>
        <v>0</v>
      </c>
      <c r="M75" s="12">
        <f>VLOOKUP($D75,'732講義室'!$B$2:$J$34,9,FALSE)</f>
        <v>0</v>
      </c>
      <c r="N75" s="14">
        <f t="shared" si="15"/>
        <v>0</v>
      </c>
      <c r="O75" s="13" cm="1">
        <f t="array" ref="O75">_xlfn.LET(
  _xlpm.t, TIME(0, INT($H75/100), MOD($H75,100)),
  _xlfn.IFS(
    AND(_xlpm.t&gt;=TIME(0,7,1),  _xlpm.t&lt;=TIME(0,8,19)), 1,
    AND(_xlpm.t&gt;=TIME(0,6,1),  _xlpm.t&lt;=TIME(0,7,0)),  0.8,
    AND(_xlpm.t&gt;=TIME(0,8,20), _xlpm.t&lt;=TIME(0,8,59)), 0.8,
    AND(_xlpm.t&gt;=TIME(0,5,1),  _xlpm.t&lt;=TIME(0,6,0)),  0.5,
    AND(_xlpm.t&gt;=TIME(0,9,0),  _xlpm.t&lt;=TIME(0,9,59)), 0.5,
    TRUE, 0.3
  )
)</f>
        <v>0.3</v>
      </c>
      <c r="P75" s="11">
        <f t="shared" si="16"/>
        <v>0</v>
      </c>
      <c r="Q75" s="11">
        <f t="shared" si="17"/>
        <v>0</v>
      </c>
      <c r="R75" s="11">
        <f t="shared" si="18"/>
        <v>0</v>
      </c>
      <c r="S75" s="11">
        <f t="shared" si="19"/>
        <v>0</v>
      </c>
      <c r="T75" s="11">
        <f t="shared" si="20"/>
        <v>0</v>
      </c>
    </row>
    <row r="76" spans="1:20">
      <c r="A76" s="11" t="s">
        <v>182</v>
      </c>
      <c r="B76" s="11" t="s">
        <v>183</v>
      </c>
      <c r="C76" s="11" t="s">
        <v>22</v>
      </c>
      <c r="D76" s="11">
        <v>21</v>
      </c>
      <c r="E76" s="11">
        <v>36</v>
      </c>
      <c r="F76" s="12" t="s">
        <v>16</v>
      </c>
      <c r="G76" s="11">
        <f t="shared" si="14"/>
        <v>0</v>
      </c>
      <c r="H76" s="13">
        <f>VLOOKUP($D76,'732講義室'!$B$2:$F$34,2,FALSE)</f>
        <v>0</v>
      </c>
      <c r="I76" s="11">
        <f>VLOOKUP($D76,'732講義室'!$B$2:$F$34,3,FALSE)</f>
        <v>0</v>
      </c>
      <c r="J76" s="11">
        <f>VLOOKUP($D76,'732講義室'!$B$2:$F$34,4,FALSE)</f>
        <v>0</v>
      </c>
      <c r="K76" s="11">
        <f>VLOOKUP($D76,'732講義室'!$B$2:$F$34,5,FALSE)</f>
        <v>0</v>
      </c>
      <c r="L76" s="11">
        <f>VLOOKUP($A76,'732講義室'!$G$2:$I$34,3,FALSE)</f>
        <v>0</v>
      </c>
      <c r="M76" s="12">
        <f>VLOOKUP($D76,'732講義室'!$B$2:$J$34,9,FALSE)</f>
        <v>0</v>
      </c>
      <c r="N76" s="14">
        <f t="shared" si="15"/>
        <v>0</v>
      </c>
      <c r="O76" s="13" cm="1">
        <f t="array" ref="O76">_xlfn.LET(
  _xlpm.t, TIME(0, INT($H76/100), MOD($H76,100)),
  _xlfn.IFS(
    AND(_xlpm.t&gt;=TIME(0,7,1),  _xlpm.t&lt;=TIME(0,8,19)), 1,
    AND(_xlpm.t&gt;=TIME(0,6,1),  _xlpm.t&lt;=TIME(0,7,0)),  0.8,
    AND(_xlpm.t&gt;=TIME(0,8,20), _xlpm.t&lt;=TIME(0,8,59)), 0.8,
    AND(_xlpm.t&gt;=TIME(0,5,1),  _xlpm.t&lt;=TIME(0,6,0)),  0.5,
    AND(_xlpm.t&gt;=TIME(0,9,0),  _xlpm.t&lt;=TIME(0,9,59)), 0.5,
    TRUE, 0.3
  )
)</f>
        <v>0.3</v>
      </c>
      <c r="P76" s="11">
        <f t="shared" si="16"/>
        <v>0</v>
      </c>
      <c r="Q76" s="11">
        <f t="shared" si="17"/>
        <v>0</v>
      </c>
      <c r="R76" s="11">
        <f t="shared" si="18"/>
        <v>0</v>
      </c>
      <c r="S76" s="11">
        <f t="shared" si="19"/>
        <v>0</v>
      </c>
      <c r="T76" s="11">
        <f t="shared" si="20"/>
        <v>0</v>
      </c>
    </row>
    <row r="77" spans="1:20">
      <c r="A77" s="11" t="s">
        <v>68</v>
      </c>
      <c r="B77" s="11" t="s">
        <v>69</v>
      </c>
      <c r="C77" s="11" t="s">
        <v>22</v>
      </c>
      <c r="D77" s="11">
        <v>13</v>
      </c>
      <c r="E77" s="11">
        <v>29</v>
      </c>
      <c r="F77" s="12" t="s">
        <v>16</v>
      </c>
      <c r="G77" s="11">
        <f t="shared" si="14"/>
        <v>0</v>
      </c>
      <c r="H77" s="13">
        <f>VLOOKUP($D77,'732講義室'!$B$2:$F$34,2,FALSE)</f>
        <v>0</v>
      </c>
      <c r="I77" s="11">
        <f>VLOOKUP($D77,'732講義室'!$B$2:$F$34,3,FALSE)</f>
        <v>0</v>
      </c>
      <c r="J77" s="11">
        <f>VLOOKUP($D77,'732講義室'!$B$2:$F$34,4,FALSE)</f>
        <v>0</v>
      </c>
      <c r="K77" s="11">
        <f>VLOOKUP($D77,'732講義室'!$B$2:$F$34,5,FALSE)</f>
        <v>0</v>
      </c>
      <c r="L77" s="11">
        <f>VLOOKUP($A77,'732講義室'!$G$2:$I$34,3,FALSE)</f>
        <v>0</v>
      </c>
      <c r="M77" s="12">
        <f>VLOOKUP($D77,'732講義室'!$B$2:$J$34,9,FALSE)</f>
        <v>0</v>
      </c>
      <c r="N77" s="14">
        <f t="shared" si="15"/>
        <v>0</v>
      </c>
      <c r="O77" s="13" cm="1">
        <f t="array" ref="O77">_xlfn.LET(
  _xlpm.t, TIME(0, INT($H77/100), MOD($H77,100)),
  _xlfn.IFS(
    AND(_xlpm.t&gt;=TIME(0,7,1),  _xlpm.t&lt;=TIME(0,8,19)), 1,
    AND(_xlpm.t&gt;=TIME(0,6,1),  _xlpm.t&lt;=TIME(0,7,0)),  0.8,
    AND(_xlpm.t&gt;=TIME(0,8,20), _xlpm.t&lt;=TIME(0,8,59)), 0.8,
    AND(_xlpm.t&gt;=TIME(0,5,1),  _xlpm.t&lt;=TIME(0,6,0)),  0.5,
    AND(_xlpm.t&gt;=TIME(0,9,0),  _xlpm.t&lt;=TIME(0,9,59)), 0.5,
    TRUE, 0.3
  )
)</f>
        <v>0.3</v>
      </c>
      <c r="P77" s="11">
        <f t="shared" si="16"/>
        <v>0</v>
      </c>
      <c r="Q77" s="11">
        <f t="shared" si="17"/>
        <v>0</v>
      </c>
      <c r="R77" s="11">
        <f t="shared" si="18"/>
        <v>0</v>
      </c>
      <c r="S77" s="11">
        <f t="shared" si="19"/>
        <v>0</v>
      </c>
      <c r="T77" s="11">
        <f t="shared" si="20"/>
        <v>0</v>
      </c>
    </row>
    <row r="78" spans="1:20">
      <c r="A78" s="11" t="s">
        <v>174</v>
      </c>
      <c r="B78" s="11" t="s">
        <v>175</v>
      </c>
      <c r="C78" s="11" t="s">
        <v>22</v>
      </c>
      <c r="D78" s="11">
        <v>13</v>
      </c>
      <c r="E78" s="11">
        <v>29</v>
      </c>
      <c r="F78" s="12" t="s">
        <v>16</v>
      </c>
      <c r="G78" s="11">
        <f t="shared" si="14"/>
        <v>0</v>
      </c>
      <c r="H78" s="13">
        <f>VLOOKUP($D78,'732講義室'!$B$2:$F$34,2,FALSE)</f>
        <v>0</v>
      </c>
      <c r="I78" s="11">
        <f>VLOOKUP($D78,'732講義室'!$B$2:$F$34,3,FALSE)</f>
        <v>0</v>
      </c>
      <c r="J78" s="11">
        <f>VLOOKUP($D78,'732講義室'!$B$2:$F$34,4,FALSE)</f>
        <v>0</v>
      </c>
      <c r="K78" s="11">
        <f>VLOOKUP($D78,'732講義室'!$B$2:$F$34,5,FALSE)</f>
        <v>0</v>
      </c>
      <c r="L78" s="11">
        <f>VLOOKUP($A78,'732講義室'!$G$2:$I$34,3,FALSE)</f>
        <v>0</v>
      </c>
      <c r="M78" s="12">
        <f>VLOOKUP($D78,'732講義室'!$B$2:$J$34,9,FALSE)</f>
        <v>0</v>
      </c>
      <c r="N78" s="14">
        <f t="shared" si="15"/>
        <v>0</v>
      </c>
      <c r="O78" s="13" cm="1">
        <f t="array" ref="O78">_xlfn.LET(
  _xlpm.t, TIME(0, INT($H78/100), MOD($H78,100)),
  _xlfn.IFS(
    AND(_xlpm.t&gt;=TIME(0,7,1),  _xlpm.t&lt;=TIME(0,8,19)), 1,
    AND(_xlpm.t&gt;=TIME(0,6,1),  _xlpm.t&lt;=TIME(0,7,0)),  0.8,
    AND(_xlpm.t&gt;=TIME(0,8,20), _xlpm.t&lt;=TIME(0,8,59)), 0.8,
    AND(_xlpm.t&gt;=TIME(0,5,1),  _xlpm.t&lt;=TIME(0,6,0)),  0.5,
    AND(_xlpm.t&gt;=TIME(0,9,0),  _xlpm.t&lt;=TIME(0,9,59)), 0.5,
    TRUE, 0.3
  )
)</f>
        <v>0.3</v>
      </c>
      <c r="P78" s="11">
        <f t="shared" si="16"/>
        <v>0</v>
      </c>
      <c r="Q78" s="11">
        <f t="shared" si="17"/>
        <v>0</v>
      </c>
      <c r="R78" s="11">
        <f t="shared" si="18"/>
        <v>0</v>
      </c>
      <c r="S78" s="11">
        <f t="shared" si="19"/>
        <v>0</v>
      </c>
      <c r="T78" s="11">
        <f t="shared" si="20"/>
        <v>0</v>
      </c>
    </row>
    <row r="79" spans="1:20">
      <c r="A79" s="11" t="s">
        <v>186</v>
      </c>
      <c r="B79" s="11" t="s">
        <v>187</v>
      </c>
      <c r="C79" s="11" t="s">
        <v>22</v>
      </c>
      <c r="D79" s="11">
        <v>13</v>
      </c>
      <c r="E79" s="11">
        <v>29</v>
      </c>
      <c r="F79" s="12" t="s">
        <v>16</v>
      </c>
      <c r="G79" s="11">
        <f t="shared" si="14"/>
        <v>0</v>
      </c>
      <c r="H79" s="13">
        <f>VLOOKUP($D79,'732講義室'!$B$2:$F$34,2,FALSE)</f>
        <v>0</v>
      </c>
      <c r="I79" s="11">
        <f>VLOOKUP($D79,'732講義室'!$B$2:$F$34,3,FALSE)</f>
        <v>0</v>
      </c>
      <c r="J79" s="11">
        <f>VLOOKUP($D79,'732講義室'!$B$2:$F$34,4,FALSE)</f>
        <v>0</v>
      </c>
      <c r="K79" s="11">
        <f>VLOOKUP($D79,'732講義室'!$B$2:$F$34,5,FALSE)</f>
        <v>0</v>
      </c>
      <c r="L79" s="11">
        <f>VLOOKUP($A79,'732講義室'!$G$2:$I$34,3,FALSE)</f>
        <v>0</v>
      </c>
      <c r="M79" s="12">
        <f>VLOOKUP($D79,'732講義室'!$B$2:$J$34,9,FALSE)</f>
        <v>0</v>
      </c>
      <c r="N79" s="14">
        <f t="shared" si="15"/>
        <v>0</v>
      </c>
      <c r="O79" s="13" cm="1">
        <f t="array" ref="O79">_xlfn.LET(
  _xlpm.t, TIME(0, INT($H79/100), MOD($H79,100)),
  _xlfn.IFS(
    AND(_xlpm.t&gt;=TIME(0,7,1),  _xlpm.t&lt;=TIME(0,8,19)), 1,
    AND(_xlpm.t&gt;=TIME(0,6,1),  _xlpm.t&lt;=TIME(0,7,0)),  0.8,
    AND(_xlpm.t&gt;=TIME(0,8,20), _xlpm.t&lt;=TIME(0,8,59)), 0.8,
    AND(_xlpm.t&gt;=TIME(0,5,1),  _xlpm.t&lt;=TIME(0,6,0)),  0.5,
    AND(_xlpm.t&gt;=TIME(0,9,0),  _xlpm.t&lt;=TIME(0,9,59)), 0.5,
    TRUE, 0.3
  )
)</f>
        <v>0.3</v>
      </c>
      <c r="P79" s="11">
        <f t="shared" si="16"/>
        <v>0</v>
      </c>
      <c r="Q79" s="11">
        <f t="shared" si="17"/>
        <v>0</v>
      </c>
      <c r="R79" s="11">
        <f t="shared" si="18"/>
        <v>0</v>
      </c>
      <c r="S79" s="11">
        <f t="shared" si="19"/>
        <v>0</v>
      </c>
      <c r="T79" s="11">
        <f t="shared" si="20"/>
        <v>0</v>
      </c>
    </row>
    <row r="80" spans="1:20">
      <c r="A80" s="11" t="s">
        <v>106</v>
      </c>
      <c r="B80" s="11" t="s">
        <v>107</v>
      </c>
      <c r="C80" s="11" t="s">
        <v>22</v>
      </c>
      <c r="D80" s="11">
        <v>8</v>
      </c>
      <c r="E80" s="11">
        <v>28</v>
      </c>
      <c r="F80" s="12" t="s">
        <v>16</v>
      </c>
      <c r="G80" s="11">
        <f t="shared" si="14"/>
        <v>0</v>
      </c>
      <c r="H80" s="13">
        <f>VLOOKUP($D80,'732講義室'!$B$2:$F$34,2,FALSE)</f>
        <v>0</v>
      </c>
      <c r="I80" s="11">
        <f>VLOOKUP($D80,'732講義室'!$B$2:$F$34,3,FALSE)</f>
        <v>0</v>
      </c>
      <c r="J80" s="11">
        <f>VLOOKUP($D80,'732講義室'!$B$2:$F$34,4,FALSE)</f>
        <v>0</v>
      </c>
      <c r="K80" s="11">
        <f>VLOOKUP($D80,'732講義室'!$B$2:$F$34,5,FALSE)</f>
        <v>0</v>
      </c>
      <c r="L80" s="11">
        <f>VLOOKUP($A80,'732講義室'!$G$2:$I$34,3,FALSE)</f>
        <v>0</v>
      </c>
      <c r="M80" s="12">
        <f>VLOOKUP($D80,'732講義室'!$B$2:$J$34,9,FALSE)</f>
        <v>0</v>
      </c>
      <c r="N80" s="14">
        <f t="shared" si="15"/>
        <v>0</v>
      </c>
      <c r="O80" s="13" cm="1">
        <f t="array" ref="O80">_xlfn.LET(
  _xlpm.t, TIME(0, INT($H80/100), MOD($H80,100)),
  _xlfn.IFS(
    AND(_xlpm.t&gt;=TIME(0,7,1),  _xlpm.t&lt;=TIME(0,8,19)), 1,
    AND(_xlpm.t&gt;=TIME(0,6,1),  _xlpm.t&lt;=TIME(0,7,0)),  0.8,
    AND(_xlpm.t&gt;=TIME(0,8,20), _xlpm.t&lt;=TIME(0,8,59)), 0.8,
    AND(_xlpm.t&gt;=TIME(0,5,1),  _xlpm.t&lt;=TIME(0,6,0)),  0.5,
    AND(_xlpm.t&gt;=TIME(0,9,0),  _xlpm.t&lt;=TIME(0,9,59)), 0.5,
    TRUE, 0.3
  )
)</f>
        <v>0.3</v>
      </c>
      <c r="P80" s="11">
        <f t="shared" si="16"/>
        <v>0</v>
      </c>
      <c r="Q80" s="11">
        <f t="shared" si="17"/>
        <v>0</v>
      </c>
      <c r="R80" s="11">
        <f t="shared" si="18"/>
        <v>0</v>
      </c>
      <c r="S80" s="11">
        <f t="shared" si="19"/>
        <v>0</v>
      </c>
      <c r="T80" s="11">
        <f t="shared" si="20"/>
        <v>0</v>
      </c>
    </row>
    <row r="81" spans="1:20">
      <c r="A81" s="11" t="s">
        <v>172</v>
      </c>
      <c r="B81" s="11" t="s">
        <v>173</v>
      </c>
      <c r="C81" s="11" t="s">
        <v>22</v>
      </c>
      <c r="D81" s="11">
        <v>8</v>
      </c>
      <c r="E81" s="11">
        <v>28</v>
      </c>
      <c r="F81" s="12" t="s">
        <v>16</v>
      </c>
      <c r="G81" s="11">
        <f t="shared" si="14"/>
        <v>0</v>
      </c>
      <c r="H81" s="13">
        <f>VLOOKUP($D81,'732講義室'!$B$2:$F$34,2,FALSE)</f>
        <v>0</v>
      </c>
      <c r="I81" s="11">
        <f>VLOOKUP($D81,'732講義室'!$B$2:$F$34,3,FALSE)</f>
        <v>0</v>
      </c>
      <c r="J81" s="11">
        <f>VLOOKUP($D81,'732講義室'!$B$2:$F$34,4,FALSE)</f>
        <v>0</v>
      </c>
      <c r="K81" s="11">
        <f>VLOOKUP($D81,'732講義室'!$B$2:$F$34,5,FALSE)</f>
        <v>0</v>
      </c>
      <c r="L81" s="11">
        <f>VLOOKUP($A81,'732講義室'!$G$2:$I$34,3,FALSE)</f>
        <v>0</v>
      </c>
      <c r="M81" s="12">
        <f>VLOOKUP($D81,'732講義室'!$B$2:$J$34,9,FALSE)</f>
        <v>0</v>
      </c>
      <c r="N81" s="14">
        <f t="shared" si="15"/>
        <v>0</v>
      </c>
      <c r="O81" s="13" cm="1">
        <f t="array" ref="O81">_xlfn.LET(
  _xlpm.t, TIME(0, INT($H81/100), MOD($H81,100)),
  _xlfn.IFS(
    AND(_xlpm.t&gt;=TIME(0,7,1),  _xlpm.t&lt;=TIME(0,8,19)), 1,
    AND(_xlpm.t&gt;=TIME(0,6,1),  _xlpm.t&lt;=TIME(0,7,0)),  0.8,
    AND(_xlpm.t&gt;=TIME(0,8,20), _xlpm.t&lt;=TIME(0,8,59)), 0.8,
    AND(_xlpm.t&gt;=TIME(0,5,1),  _xlpm.t&lt;=TIME(0,6,0)),  0.5,
    AND(_xlpm.t&gt;=TIME(0,9,0),  _xlpm.t&lt;=TIME(0,9,59)), 0.5,
    TRUE, 0.3
  )
)</f>
        <v>0.3</v>
      </c>
      <c r="P81" s="11">
        <f t="shared" si="16"/>
        <v>0</v>
      </c>
      <c r="Q81" s="11">
        <f t="shared" si="17"/>
        <v>0</v>
      </c>
      <c r="R81" s="11">
        <f t="shared" si="18"/>
        <v>0</v>
      </c>
      <c r="S81" s="11">
        <f t="shared" si="19"/>
        <v>0</v>
      </c>
      <c r="T81" s="11">
        <f t="shared" si="20"/>
        <v>0</v>
      </c>
    </row>
    <row r="82" spans="1:20">
      <c r="A82" s="11" t="s">
        <v>266</v>
      </c>
      <c r="B82" s="11" t="s">
        <v>267</v>
      </c>
      <c r="C82" s="11" t="s">
        <v>22</v>
      </c>
      <c r="D82" s="11">
        <v>8</v>
      </c>
      <c r="E82" s="11">
        <v>28</v>
      </c>
      <c r="F82" s="12" t="s">
        <v>16</v>
      </c>
      <c r="G82" s="11">
        <f t="shared" si="14"/>
        <v>0</v>
      </c>
      <c r="H82" s="13">
        <f>VLOOKUP($D82,'732講義室'!$B$2:$F$34,2,FALSE)</f>
        <v>0</v>
      </c>
      <c r="I82" s="11">
        <f>VLOOKUP($D82,'732講義室'!$B$2:$F$34,3,FALSE)</f>
        <v>0</v>
      </c>
      <c r="J82" s="11">
        <f>VLOOKUP($D82,'732講義室'!$B$2:$F$34,4,FALSE)</f>
        <v>0</v>
      </c>
      <c r="K82" s="11">
        <f>VLOOKUP($D82,'732講義室'!$B$2:$F$34,5,FALSE)</f>
        <v>0</v>
      </c>
      <c r="L82" s="11">
        <f>VLOOKUP($A82,'732講義室'!$G$2:$I$34,3,FALSE)</f>
        <v>0</v>
      </c>
      <c r="M82" s="12">
        <f>VLOOKUP($D82,'732講義室'!$B$2:$J$34,9,FALSE)</f>
        <v>0</v>
      </c>
      <c r="N82" s="14">
        <f t="shared" si="15"/>
        <v>0</v>
      </c>
      <c r="O82" s="13" cm="1">
        <f t="array" ref="O82">_xlfn.LET(
  _xlpm.t, TIME(0, INT($H82/100), MOD($H82,100)),
  _xlfn.IFS(
    AND(_xlpm.t&gt;=TIME(0,7,1),  _xlpm.t&lt;=TIME(0,8,19)), 1,
    AND(_xlpm.t&gt;=TIME(0,6,1),  _xlpm.t&lt;=TIME(0,7,0)),  0.8,
    AND(_xlpm.t&gt;=TIME(0,8,20), _xlpm.t&lt;=TIME(0,8,59)), 0.8,
    AND(_xlpm.t&gt;=TIME(0,5,1),  _xlpm.t&lt;=TIME(0,6,0)),  0.5,
    AND(_xlpm.t&gt;=TIME(0,9,0),  _xlpm.t&lt;=TIME(0,9,59)), 0.5,
    TRUE, 0.3
  )
)</f>
        <v>0.3</v>
      </c>
      <c r="P82" s="11">
        <f t="shared" si="16"/>
        <v>0</v>
      </c>
      <c r="Q82" s="11">
        <f t="shared" si="17"/>
        <v>0</v>
      </c>
      <c r="R82" s="11">
        <f t="shared" si="18"/>
        <v>0</v>
      </c>
      <c r="S82" s="11">
        <f t="shared" si="19"/>
        <v>0</v>
      </c>
      <c r="T82" s="11">
        <f t="shared" si="20"/>
        <v>0</v>
      </c>
    </row>
    <row r="83" spans="1:20">
      <c r="A83" s="11" t="s">
        <v>92</v>
      </c>
      <c r="B83" s="11" t="s">
        <v>93</v>
      </c>
      <c r="C83" s="11" t="s">
        <v>22</v>
      </c>
      <c r="D83" s="11">
        <v>23</v>
      </c>
      <c r="E83" s="11">
        <v>21</v>
      </c>
      <c r="F83" s="12" t="s">
        <v>16</v>
      </c>
      <c r="G83" s="11">
        <f t="shared" si="14"/>
        <v>0</v>
      </c>
      <c r="H83" s="13">
        <f>VLOOKUP($D83,'732講義室'!$B$2:$F$34,2,FALSE)</f>
        <v>0</v>
      </c>
      <c r="I83" s="11">
        <f>VLOOKUP($D83,'732講義室'!$B$2:$F$34,3,FALSE)</f>
        <v>0</v>
      </c>
      <c r="J83" s="11">
        <f>VLOOKUP($D83,'732講義室'!$B$2:$F$34,4,FALSE)</f>
        <v>0</v>
      </c>
      <c r="K83" s="11">
        <f>VLOOKUP($D83,'732講義室'!$B$2:$F$34,5,FALSE)</f>
        <v>0</v>
      </c>
      <c r="L83" s="11">
        <f>VLOOKUP($A83,'732講義室'!$G$2:$I$34,3,FALSE)</f>
        <v>0</v>
      </c>
      <c r="M83" s="12">
        <f>VLOOKUP($D83,'732講義室'!$B$2:$J$34,9,FALSE)</f>
        <v>0</v>
      </c>
      <c r="N83" s="14">
        <f t="shared" si="15"/>
        <v>0</v>
      </c>
      <c r="O83" s="13" cm="1">
        <f t="array" ref="O83">_xlfn.LET(
  _xlpm.t, TIME(0, INT($H83/100), MOD($H83,100)),
  _xlfn.IFS(
    AND(_xlpm.t&gt;=TIME(0,7,1),  _xlpm.t&lt;=TIME(0,8,19)), 1,
    AND(_xlpm.t&gt;=TIME(0,6,1),  _xlpm.t&lt;=TIME(0,7,0)),  0.8,
    AND(_xlpm.t&gt;=TIME(0,8,20), _xlpm.t&lt;=TIME(0,8,59)), 0.8,
    AND(_xlpm.t&gt;=TIME(0,5,1),  _xlpm.t&lt;=TIME(0,6,0)),  0.5,
    AND(_xlpm.t&gt;=TIME(0,9,0),  _xlpm.t&lt;=TIME(0,9,59)), 0.5,
    TRUE, 0.3
  )
)</f>
        <v>0.3</v>
      </c>
      <c r="P83" s="11">
        <f t="shared" si="16"/>
        <v>0</v>
      </c>
      <c r="Q83" s="11">
        <f t="shared" si="17"/>
        <v>0</v>
      </c>
      <c r="R83" s="11">
        <f t="shared" si="18"/>
        <v>0</v>
      </c>
      <c r="S83" s="11">
        <f t="shared" si="19"/>
        <v>0</v>
      </c>
      <c r="T83" s="11">
        <f t="shared" si="20"/>
        <v>0</v>
      </c>
    </row>
    <row r="84" spans="1:20">
      <c r="A84" s="11" t="s">
        <v>150</v>
      </c>
      <c r="B84" s="11" t="s">
        <v>151</v>
      </c>
      <c r="C84" s="11" t="s">
        <v>22</v>
      </c>
      <c r="D84" s="11">
        <v>23</v>
      </c>
      <c r="E84" s="11">
        <v>21</v>
      </c>
      <c r="F84" s="12" t="s">
        <v>16</v>
      </c>
      <c r="G84" s="11">
        <f t="shared" si="14"/>
        <v>0</v>
      </c>
      <c r="H84" s="13">
        <f>VLOOKUP($D84,'732講義室'!$B$2:$F$34,2,FALSE)</f>
        <v>0</v>
      </c>
      <c r="I84" s="11">
        <f>VLOOKUP($D84,'732講義室'!$B$2:$F$34,3,FALSE)</f>
        <v>0</v>
      </c>
      <c r="J84" s="11">
        <f>VLOOKUP($D84,'732講義室'!$B$2:$F$34,4,FALSE)</f>
        <v>0</v>
      </c>
      <c r="K84" s="11">
        <f>VLOOKUP($D84,'732講義室'!$B$2:$F$34,5,FALSE)</f>
        <v>0</v>
      </c>
      <c r="L84" s="11">
        <f>VLOOKUP($A84,'732講義室'!$G$2:$I$34,3,FALSE)</f>
        <v>0</v>
      </c>
      <c r="M84" s="12">
        <f>VLOOKUP($D84,'732講義室'!$B$2:$J$34,9,FALSE)</f>
        <v>0</v>
      </c>
      <c r="N84" s="14">
        <f t="shared" si="15"/>
        <v>0</v>
      </c>
      <c r="O84" s="13" cm="1">
        <f t="array" ref="O84">_xlfn.LET(
  _xlpm.t, TIME(0, INT($H84/100), MOD($H84,100)),
  _xlfn.IFS(
    AND(_xlpm.t&gt;=TIME(0,7,1),  _xlpm.t&lt;=TIME(0,8,19)), 1,
    AND(_xlpm.t&gt;=TIME(0,6,1),  _xlpm.t&lt;=TIME(0,7,0)),  0.8,
    AND(_xlpm.t&gt;=TIME(0,8,20), _xlpm.t&lt;=TIME(0,8,59)), 0.8,
    AND(_xlpm.t&gt;=TIME(0,5,1),  _xlpm.t&lt;=TIME(0,6,0)),  0.5,
    AND(_xlpm.t&gt;=TIME(0,9,0),  _xlpm.t&lt;=TIME(0,9,59)), 0.5,
    TRUE, 0.3
  )
)</f>
        <v>0.3</v>
      </c>
      <c r="P84" s="11">
        <f t="shared" si="16"/>
        <v>0</v>
      </c>
      <c r="Q84" s="11">
        <f t="shared" si="17"/>
        <v>0</v>
      </c>
      <c r="R84" s="11">
        <f t="shared" si="18"/>
        <v>0</v>
      </c>
      <c r="S84" s="11">
        <f t="shared" si="19"/>
        <v>0</v>
      </c>
      <c r="T84" s="11">
        <f t="shared" si="20"/>
        <v>0</v>
      </c>
    </row>
    <row r="85" spans="1:20">
      <c r="A85" s="11" t="s">
        <v>252</v>
      </c>
      <c r="B85" s="11" t="s">
        <v>253</v>
      </c>
      <c r="C85" s="11" t="s">
        <v>22</v>
      </c>
      <c r="D85" s="11">
        <v>23</v>
      </c>
      <c r="E85" s="11">
        <v>21</v>
      </c>
      <c r="F85" s="12" t="s">
        <v>16</v>
      </c>
      <c r="G85" s="11">
        <f t="shared" si="14"/>
        <v>0</v>
      </c>
      <c r="H85" s="13">
        <f>VLOOKUP($D85,'732講義室'!$B$2:$F$34,2,FALSE)</f>
        <v>0</v>
      </c>
      <c r="I85" s="11">
        <f>VLOOKUP($D85,'732講義室'!$B$2:$F$34,3,FALSE)</f>
        <v>0</v>
      </c>
      <c r="J85" s="11">
        <f>VLOOKUP($D85,'732講義室'!$B$2:$F$34,4,FALSE)</f>
        <v>0</v>
      </c>
      <c r="K85" s="11">
        <f>VLOOKUP($D85,'732講義室'!$B$2:$F$34,5,FALSE)</f>
        <v>0</v>
      </c>
      <c r="L85" s="11">
        <f>VLOOKUP($A85,'732講義室'!$G$2:$I$34,3,FALSE)</f>
        <v>0</v>
      </c>
      <c r="M85" s="12">
        <f>VLOOKUP($D85,'732講義室'!$B$2:$J$34,9,FALSE)</f>
        <v>0</v>
      </c>
      <c r="N85" s="14">
        <f t="shared" si="15"/>
        <v>0</v>
      </c>
      <c r="O85" s="13" cm="1">
        <f t="array" ref="O85">_xlfn.LET(
  _xlpm.t, TIME(0, INT($H85/100), MOD($H85,100)),
  _xlfn.IFS(
    AND(_xlpm.t&gt;=TIME(0,7,1),  _xlpm.t&lt;=TIME(0,8,19)), 1,
    AND(_xlpm.t&gt;=TIME(0,6,1),  _xlpm.t&lt;=TIME(0,7,0)),  0.8,
    AND(_xlpm.t&gt;=TIME(0,8,20), _xlpm.t&lt;=TIME(0,8,59)), 0.8,
    AND(_xlpm.t&gt;=TIME(0,5,1),  _xlpm.t&lt;=TIME(0,6,0)),  0.5,
    AND(_xlpm.t&gt;=TIME(0,9,0),  _xlpm.t&lt;=TIME(0,9,59)), 0.5,
    TRUE, 0.3
  )
)</f>
        <v>0.3</v>
      </c>
      <c r="P85" s="11">
        <f t="shared" si="16"/>
        <v>0</v>
      </c>
      <c r="Q85" s="11">
        <f t="shared" si="17"/>
        <v>0</v>
      </c>
      <c r="R85" s="11">
        <f t="shared" si="18"/>
        <v>0</v>
      </c>
      <c r="S85" s="11">
        <f t="shared" si="19"/>
        <v>0</v>
      </c>
      <c r="T85" s="11">
        <f t="shared" si="20"/>
        <v>0</v>
      </c>
    </row>
    <row r="86" spans="1:20">
      <c r="A86" s="11" t="s">
        <v>84</v>
      </c>
      <c r="B86" s="11" t="s">
        <v>85</v>
      </c>
      <c r="C86" s="11" t="s">
        <v>22</v>
      </c>
      <c r="D86" s="11">
        <v>30</v>
      </c>
      <c r="E86" s="11">
        <v>20</v>
      </c>
      <c r="F86" s="12" t="s">
        <v>16</v>
      </c>
      <c r="G86" s="11">
        <f t="shared" si="14"/>
        <v>0</v>
      </c>
      <c r="H86" s="13">
        <f>VLOOKUP($D86,'732講義室'!$B$2:$F$34,2,FALSE)</f>
        <v>0</v>
      </c>
      <c r="I86" s="11">
        <f>VLOOKUP($D86,'732講義室'!$B$2:$F$34,3,FALSE)</f>
        <v>0</v>
      </c>
      <c r="J86" s="11">
        <f>VLOOKUP($D86,'732講義室'!$B$2:$F$34,4,FALSE)</f>
        <v>0</v>
      </c>
      <c r="K86" s="11">
        <f>VLOOKUP($D86,'732講義室'!$B$2:$F$34,5,FALSE)</f>
        <v>0</v>
      </c>
      <c r="L86" s="11">
        <f>VLOOKUP($A86,'732講義室'!$G$2:$I$34,3,FALSE)</f>
        <v>0</v>
      </c>
      <c r="M86" s="12">
        <f>VLOOKUP($D86,'732講義室'!$B$2:$J$34,9,FALSE)</f>
        <v>0</v>
      </c>
      <c r="N86" s="14">
        <f t="shared" si="15"/>
        <v>0</v>
      </c>
      <c r="O86" s="13" cm="1">
        <f t="array" ref="O86">_xlfn.LET(
  _xlpm.t, TIME(0, INT($H86/100), MOD($H86,100)),
  _xlfn.IFS(
    AND(_xlpm.t&gt;=TIME(0,7,1),  _xlpm.t&lt;=TIME(0,8,19)), 1,
    AND(_xlpm.t&gt;=TIME(0,6,1),  _xlpm.t&lt;=TIME(0,7,0)),  0.8,
    AND(_xlpm.t&gt;=TIME(0,8,20), _xlpm.t&lt;=TIME(0,8,59)), 0.8,
    AND(_xlpm.t&gt;=TIME(0,5,1),  _xlpm.t&lt;=TIME(0,6,0)),  0.5,
    AND(_xlpm.t&gt;=TIME(0,9,0),  _xlpm.t&lt;=TIME(0,9,59)), 0.5,
    TRUE, 0.3
  )
)</f>
        <v>0.3</v>
      </c>
      <c r="P86" s="11">
        <f t="shared" si="16"/>
        <v>0</v>
      </c>
      <c r="Q86" s="11">
        <f t="shared" si="17"/>
        <v>0</v>
      </c>
      <c r="R86" s="11">
        <f t="shared" si="18"/>
        <v>0</v>
      </c>
      <c r="S86" s="11">
        <f t="shared" si="19"/>
        <v>0</v>
      </c>
      <c r="T86" s="11">
        <f t="shared" si="20"/>
        <v>0</v>
      </c>
    </row>
    <row r="87" spans="1:20">
      <c r="A87" s="11" t="s">
        <v>86</v>
      </c>
      <c r="B87" s="11" t="s">
        <v>87</v>
      </c>
      <c r="C87" s="11" t="s">
        <v>22</v>
      </c>
      <c r="D87" s="11">
        <v>30</v>
      </c>
      <c r="E87" s="11">
        <v>20</v>
      </c>
      <c r="F87" s="12" t="s">
        <v>16</v>
      </c>
      <c r="G87" s="11">
        <f t="shared" si="14"/>
        <v>0</v>
      </c>
      <c r="H87" s="13">
        <f>VLOOKUP($D87,'732講義室'!$B$2:$F$34,2,FALSE)</f>
        <v>0</v>
      </c>
      <c r="I87" s="11">
        <f>VLOOKUP($D87,'732講義室'!$B$2:$F$34,3,FALSE)</f>
        <v>0</v>
      </c>
      <c r="J87" s="11">
        <f>VLOOKUP($D87,'732講義室'!$B$2:$F$34,4,FALSE)</f>
        <v>0</v>
      </c>
      <c r="K87" s="11">
        <f>VLOOKUP($D87,'732講義室'!$B$2:$F$34,5,FALSE)</f>
        <v>0</v>
      </c>
      <c r="L87" s="11">
        <f>VLOOKUP($A87,'732講義室'!$G$2:$I$34,3,FALSE)</f>
        <v>0</v>
      </c>
      <c r="M87" s="12">
        <f>VLOOKUP($D87,'732講義室'!$B$2:$J$34,9,FALSE)</f>
        <v>0</v>
      </c>
      <c r="N87" s="14">
        <f t="shared" si="15"/>
        <v>0</v>
      </c>
      <c r="O87" s="13" cm="1">
        <f t="array" ref="O87">_xlfn.LET(
  _xlpm.t, TIME(0, INT($H87/100), MOD($H87,100)),
  _xlfn.IFS(
    AND(_xlpm.t&gt;=TIME(0,7,1),  _xlpm.t&lt;=TIME(0,8,19)), 1,
    AND(_xlpm.t&gt;=TIME(0,6,1),  _xlpm.t&lt;=TIME(0,7,0)),  0.8,
    AND(_xlpm.t&gt;=TIME(0,8,20), _xlpm.t&lt;=TIME(0,8,59)), 0.8,
    AND(_xlpm.t&gt;=TIME(0,5,1),  _xlpm.t&lt;=TIME(0,6,0)),  0.5,
    AND(_xlpm.t&gt;=TIME(0,9,0),  _xlpm.t&lt;=TIME(0,9,59)), 0.5,
    TRUE, 0.3
  )
)</f>
        <v>0.3</v>
      </c>
      <c r="P87" s="11">
        <f t="shared" si="16"/>
        <v>0</v>
      </c>
      <c r="Q87" s="11">
        <f t="shared" si="17"/>
        <v>0</v>
      </c>
      <c r="R87" s="11">
        <f t="shared" si="18"/>
        <v>0</v>
      </c>
      <c r="S87" s="11">
        <f t="shared" si="19"/>
        <v>0</v>
      </c>
      <c r="T87" s="11">
        <f t="shared" si="20"/>
        <v>0</v>
      </c>
    </row>
    <row r="88" spans="1:20">
      <c r="A88" s="11" t="s">
        <v>126</v>
      </c>
      <c r="B88" s="11" t="s">
        <v>127</v>
      </c>
      <c r="C88" s="11" t="s">
        <v>22</v>
      </c>
      <c r="D88" s="11">
        <v>30</v>
      </c>
      <c r="E88" s="11">
        <v>20</v>
      </c>
      <c r="F88" s="12" t="s">
        <v>16</v>
      </c>
      <c r="G88" s="11">
        <f t="shared" si="14"/>
        <v>0</v>
      </c>
      <c r="H88" s="13">
        <f>VLOOKUP($D88,'732講義室'!$B$2:$F$34,2,FALSE)</f>
        <v>0</v>
      </c>
      <c r="I88" s="11">
        <f>VLOOKUP($D88,'732講義室'!$B$2:$F$34,3,FALSE)</f>
        <v>0</v>
      </c>
      <c r="J88" s="11">
        <f>VLOOKUP($D88,'732講義室'!$B$2:$F$34,4,FALSE)</f>
        <v>0</v>
      </c>
      <c r="K88" s="11">
        <f>VLOOKUP($D88,'732講義室'!$B$2:$F$34,5,FALSE)</f>
        <v>0</v>
      </c>
      <c r="L88" s="11">
        <f>VLOOKUP($A88,'732講義室'!$G$2:$I$34,3,FALSE)</f>
        <v>0</v>
      </c>
      <c r="M88" s="12">
        <f>VLOOKUP($D88,'732講義室'!$B$2:$J$34,9,FALSE)</f>
        <v>0</v>
      </c>
      <c r="N88" s="14">
        <f t="shared" si="15"/>
        <v>0</v>
      </c>
      <c r="O88" s="13" cm="1">
        <f t="array" ref="O88">_xlfn.LET(
  _xlpm.t, TIME(0, INT($H88/100), MOD($H88,100)),
  _xlfn.IFS(
    AND(_xlpm.t&gt;=TIME(0,7,1),  _xlpm.t&lt;=TIME(0,8,19)), 1,
    AND(_xlpm.t&gt;=TIME(0,6,1),  _xlpm.t&lt;=TIME(0,7,0)),  0.8,
    AND(_xlpm.t&gt;=TIME(0,8,20), _xlpm.t&lt;=TIME(0,8,59)), 0.8,
    AND(_xlpm.t&gt;=TIME(0,5,1),  _xlpm.t&lt;=TIME(0,6,0)),  0.5,
    AND(_xlpm.t&gt;=TIME(0,9,0),  _xlpm.t&lt;=TIME(0,9,59)), 0.5,
    TRUE, 0.3
  )
)</f>
        <v>0.3</v>
      </c>
      <c r="P88" s="11">
        <f t="shared" si="16"/>
        <v>0</v>
      </c>
      <c r="Q88" s="11">
        <f t="shared" si="17"/>
        <v>0</v>
      </c>
      <c r="R88" s="11">
        <f t="shared" si="18"/>
        <v>0</v>
      </c>
      <c r="S88" s="11">
        <f t="shared" si="19"/>
        <v>0</v>
      </c>
      <c r="T88" s="11">
        <f t="shared" si="20"/>
        <v>0</v>
      </c>
    </row>
    <row r="89" spans="1:20">
      <c r="A89" s="11" t="s">
        <v>36</v>
      </c>
      <c r="B89" s="11" t="s">
        <v>37</v>
      </c>
      <c r="C89" s="11" t="s">
        <v>22</v>
      </c>
      <c r="D89" s="11">
        <v>35</v>
      </c>
      <c r="E89" s="11">
        <v>13</v>
      </c>
      <c r="F89" s="12" t="s">
        <v>16</v>
      </c>
      <c r="G89" s="11">
        <f t="shared" si="14"/>
        <v>0</v>
      </c>
      <c r="H89" s="13">
        <f>VLOOKUP($D89,'732講義室'!$B$2:$F$34,2,FALSE)</f>
        <v>0</v>
      </c>
      <c r="I89" s="11">
        <f>VLOOKUP($D89,'732講義室'!$B$2:$F$34,3,FALSE)</f>
        <v>0</v>
      </c>
      <c r="J89" s="11">
        <f>VLOOKUP($D89,'732講義室'!$B$2:$F$34,4,FALSE)</f>
        <v>0</v>
      </c>
      <c r="K89" s="11">
        <f>VLOOKUP($D89,'732講義室'!$B$2:$F$34,5,FALSE)</f>
        <v>0</v>
      </c>
      <c r="L89" s="11">
        <f>VLOOKUP($A89,'732講義室'!$G$2:$I$34,3,FALSE)</f>
        <v>0</v>
      </c>
      <c r="M89" s="12">
        <f>VLOOKUP($D89,'732講義室'!$B$2:$J$34,9,FALSE)</f>
        <v>0</v>
      </c>
      <c r="N89" s="14">
        <f t="shared" si="15"/>
        <v>0</v>
      </c>
      <c r="O89" s="13" cm="1">
        <f t="array" ref="O89">_xlfn.LET(
  _xlpm.t, TIME(0, INT($H89/100), MOD($H89,100)),
  _xlfn.IFS(
    AND(_xlpm.t&gt;=TIME(0,7,1),  _xlpm.t&lt;=TIME(0,8,19)), 1,
    AND(_xlpm.t&gt;=TIME(0,6,1),  _xlpm.t&lt;=TIME(0,7,0)),  0.8,
    AND(_xlpm.t&gt;=TIME(0,8,20), _xlpm.t&lt;=TIME(0,8,59)), 0.8,
    AND(_xlpm.t&gt;=TIME(0,5,1),  _xlpm.t&lt;=TIME(0,6,0)),  0.5,
    AND(_xlpm.t&gt;=TIME(0,9,0),  _xlpm.t&lt;=TIME(0,9,59)), 0.5,
    TRUE, 0.3
  )
)</f>
        <v>0.3</v>
      </c>
      <c r="P89" s="11">
        <f t="shared" si="16"/>
        <v>0</v>
      </c>
      <c r="Q89" s="11">
        <f t="shared" si="17"/>
        <v>0</v>
      </c>
      <c r="R89" s="11">
        <f t="shared" si="18"/>
        <v>0</v>
      </c>
      <c r="S89" s="11">
        <f t="shared" si="19"/>
        <v>0</v>
      </c>
      <c r="T89" s="11">
        <f t="shared" si="20"/>
        <v>0</v>
      </c>
    </row>
    <row r="90" spans="1:20">
      <c r="A90" s="11" t="s">
        <v>78</v>
      </c>
      <c r="B90" s="11" t="s">
        <v>79</v>
      </c>
      <c r="C90" s="11" t="s">
        <v>22</v>
      </c>
      <c r="D90" s="11">
        <v>35</v>
      </c>
      <c r="E90" s="11">
        <v>13</v>
      </c>
      <c r="F90" s="12" t="s">
        <v>16</v>
      </c>
      <c r="G90" s="11">
        <f t="shared" si="14"/>
        <v>0</v>
      </c>
      <c r="H90" s="13">
        <f>VLOOKUP($D90,'732講義室'!$B$2:$F$34,2,FALSE)</f>
        <v>0</v>
      </c>
      <c r="I90" s="11">
        <f>VLOOKUP($D90,'732講義室'!$B$2:$F$34,3,FALSE)</f>
        <v>0</v>
      </c>
      <c r="J90" s="11">
        <f>VLOOKUP($D90,'732講義室'!$B$2:$F$34,4,FALSE)</f>
        <v>0</v>
      </c>
      <c r="K90" s="11">
        <f>VLOOKUP($D90,'732講義室'!$B$2:$F$34,5,FALSE)</f>
        <v>0</v>
      </c>
      <c r="L90" s="11">
        <f>VLOOKUP($A90,'732講義室'!$G$2:$I$34,3,FALSE)</f>
        <v>0</v>
      </c>
      <c r="M90" s="12">
        <f>VLOOKUP($D90,'732講義室'!$B$2:$J$34,9,FALSE)</f>
        <v>0</v>
      </c>
      <c r="N90" s="14">
        <f t="shared" si="15"/>
        <v>0</v>
      </c>
      <c r="O90" s="13" cm="1">
        <f t="array" ref="O90">_xlfn.LET(
  _xlpm.t, TIME(0, INT($H90/100), MOD($H90,100)),
  _xlfn.IFS(
    AND(_xlpm.t&gt;=TIME(0,7,1),  _xlpm.t&lt;=TIME(0,8,19)), 1,
    AND(_xlpm.t&gt;=TIME(0,6,1),  _xlpm.t&lt;=TIME(0,7,0)),  0.8,
    AND(_xlpm.t&gt;=TIME(0,8,20), _xlpm.t&lt;=TIME(0,8,59)), 0.8,
    AND(_xlpm.t&gt;=TIME(0,5,1),  _xlpm.t&lt;=TIME(0,6,0)),  0.5,
    AND(_xlpm.t&gt;=TIME(0,9,0),  _xlpm.t&lt;=TIME(0,9,59)), 0.5,
    TRUE, 0.3
  )
)</f>
        <v>0.3</v>
      </c>
      <c r="P90" s="11">
        <f t="shared" si="16"/>
        <v>0</v>
      </c>
      <c r="Q90" s="11">
        <f t="shared" si="17"/>
        <v>0</v>
      </c>
      <c r="R90" s="11">
        <f t="shared" si="18"/>
        <v>0</v>
      </c>
      <c r="S90" s="11">
        <f t="shared" si="19"/>
        <v>0</v>
      </c>
      <c r="T90" s="11">
        <f t="shared" si="20"/>
        <v>0</v>
      </c>
    </row>
    <row r="91" spans="1:20">
      <c r="A91" s="11" t="s">
        <v>190</v>
      </c>
      <c r="B91" s="11" t="s">
        <v>191</v>
      </c>
      <c r="C91" s="11" t="s">
        <v>22</v>
      </c>
      <c r="D91" s="11">
        <v>35</v>
      </c>
      <c r="E91" s="11">
        <v>13</v>
      </c>
      <c r="F91" s="12" t="s">
        <v>16</v>
      </c>
      <c r="G91" s="11">
        <f t="shared" si="14"/>
        <v>0</v>
      </c>
      <c r="H91" s="13">
        <f>VLOOKUP($D91,'732講義室'!$B$2:$F$34,2,FALSE)</f>
        <v>0</v>
      </c>
      <c r="I91" s="11">
        <f>VLOOKUP($D91,'732講義室'!$B$2:$F$34,3,FALSE)</f>
        <v>0</v>
      </c>
      <c r="J91" s="11">
        <f>VLOOKUP($D91,'732講義室'!$B$2:$F$34,4,FALSE)</f>
        <v>0</v>
      </c>
      <c r="K91" s="11">
        <f>VLOOKUP($D91,'732講義室'!$B$2:$F$34,5,FALSE)</f>
        <v>0</v>
      </c>
      <c r="L91" s="11">
        <f>VLOOKUP($A91,'732講義室'!$G$2:$I$34,3,FALSE)</f>
        <v>0</v>
      </c>
      <c r="M91" s="12">
        <f>VLOOKUP($D91,'732講義室'!$B$2:$J$34,9,FALSE)</f>
        <v>0</v>
      </c>
      <c r="N91" s="14">
        <f t="shared" si="15"/>
        <v>0</v>
      </c>
      <c r="O91" s="13" cm="1">
        <f t="array" ref="O91">_xlfn.LET(
  _xlpm.t, TIME(0, INT($H91/100), MOD($H91,100)),
  _xlfn.IFS(
    AND(_xlpm.t&gt;=TIME(0,7,1),  _xlpm.t&lt;=TIME(0,8,19)), 1,
    AND(_xlpm.t&gt;=TIME(0,6,1),  _xlpm.t&lt;=TIME(0,7,0)),  0.8,
    AND(_xlpm.t&gt;=TIME(0,8,20), _xlpm.t&lt;=TIME(0,8,59)), 0.8,
    AND(_xlpm.t&gt;=TIME(0,5,1),  _xlpm.t&lt;=TIME(0,6,0)),  0.5,
    AND(_xlpm.t&gt;=TIME(0,9,0),  _xlpm.t&lt;=TIME(0,9,59)), 0.5,
    TRUE, 0.3
  )
)</f>
        <v>0.3</v>
      </c>
      <c r="P91" s="11">
        <f t="shared" si="16"/>
        <v>0</v>
      </c>
      <c r="Q91" s="11">
        <f t="shared" si="17"/>
        <v>0</v>
      </c>
      <c r="R91" s="11">
        <f t="shared" si="18"/>
        <v>0</v>
      </c>
      <c r="S91" s="11">
        <f t="shared" si="19"/>
        <v>0</v>
      </c>
      <c r="T91" s="11">
        <f t="shared" si="20"/>
        <v>0</v>
      </c>
    </row>
    <row r="92" spans="1:20">
      <c r="A92" s="11" t="s">
        <v>58</v>
      </c>
      <c r="B92" s="11" t="s">
        <v>59</v>
      </c>
      <c r="C92" s="11" t="s">
        <v>22</v>
      </c>
      <c r="D92" s="11">
        <v>6</v>
      </c>
      <c r="E92" s="11">
        <v>12</v>
      </c>
      <c r="F92" s="12" t="s">
        <v>16</v>
      </c>
      <c r="G92" s="11">
        <f t="shared" si="14"/>
        <v>0</v>
      </c>
      <c r="H92" s="13">
        <f>VLOOKUP($D92,'732講義室'!$B$2:$F$34,2,FALSE)</f>
        <v>0</v>
      </c>
      <c r="I92" s="11">
        <f>VLOOKUP($D92,'732講義室'!$B$2:$F$34,3,FALSE)</f>
        <v>0</v>
      </c>
      <c r="J92" s="11">
        <f>VLOOKUP($D92,'732講義室'!$B$2:$F$34,4,FALSE)</f>
        <v>0</v>
      </c>
      <c r="K92" s="11">
        <f>VLOOKUP($D92,'732講義室'!$B$2:$F$34,5,FALSE)</f>
        <v>0</v>
      </c>
      <c r="L92" s="11">
        <f>VLOOKUP($A92,'732講義室'!$G$2:$I$34,3,FALSE)</f>
        <v>0</v>
      </c>
      <c r="M92" s="12">
        <f>VLOOKUP($D92,'732講義室'!$B$2:$J$34,9,FALSE)</f>
        <v>0</v>
      </c>
      <c r="N92" s="14">
        <f t="shared" si="15"/>
        <v>0</v>
      </c>
      <c r="O92" s="13" cm="1">
        <f t="array" ref="O92">_xlfn.LET(
  _xlpm.t, TIME(0, INT($H92/100), MOD($H92,100)),
  _xlfn.IFS(
    AND(_xlpm.t&gt;=TIME(0,7,1),  _xlpm.t&lt;=TIME(0,8,19)), 1,
    AND(_xlpm.t&gt;=TIME(0,6,1),  _xlpm.t&lt;=TIME(0,7,0)),  0.8,
    AND(_xlpm.t&gt;=TIME(0,8,20), _xlpm.t&lt;=TIME(0,8,59)), 0.8,
    AND(_xlpm.t&gt;=TIME(0,5,1),  _xlpm.t&lt;=TIME(0,6,0)),  0.5,
    AND(_xlpm.t&gt;=TIME(0,9,0),  _xlpm.t&lt;=TIME(0,9,59)), 0.5,
    TRUE, 0.3
  )
)</f>
        <v>0.3</v>
      </c>
      <c r="P92" s="11">
        <f t="shared" si="16"/>
        <v>0</v>
      </c>
      <c r="Q92" s="11">
        <f t="shared" si="17"/>
        <v>0</v>
      </c>
      <c r="R92" s="11">
        <f t="shared" si="18"/>
        <v>0</v>
      </c>
      <c r="S92" s="11">
        <f t="shared" si="19"/>
        <v>0</v>
      </c>
      <c r="T92" s="11">
        <f t="shared" si="20"/>
        <v>0</v>
      </c>
    </row>
    <row r="93" spans="1:20">
      <c r="A93" s="11" t="s">
        <v>170</v>
      </c>
      <c r="B93" s="11" t="s">
        <v>171</v>
      </c>
      <c r="C93" s="11" t="s">
        <v>22</v>
      </c>
      <c r="D93" s="11">
        <v>6</v>
      </c>
      <c r="E93" s="11">
        <v>12</v>
      </c>
      <c r="F93" s="12" t="s">
        <v>16</v>
      </c>
      <c r="G93" s="11">
        <f t="shared" si="14"/>
        <v>0</v>
      </c>
      <c r="H93" s="13">
        <f>VLOOKUP($D93,'732講義室'!$B$2:$F$34,2,FALSE)</f>
        <v>0</v>
      </c>
      <c r="I93" s="11">
        <f>VLOOKUP($D93,'732講義室'!$B$2:$F$34,3,FALSE)</f>
        <v>0</v>
      </c>
      <c r="J93" s="11">
        <f>VLOOKUP($D93,'732講義室'!$B$2:$F$34,4,FALSE)</f>
        <v>0</v>
      </c>
      <c r="K93" s="11">
        <f>VLOOKUP($D93,'732講義室'!$B$2:$F$34,5,FALSE)</f>
        <v>0</v>
      </c>
      <c r="L93" s="11">
        <f>VLOOKUP($A93,'732講義室'!$G$2:$I$34,3,FALSE)</f>
        <v>0</v>
      </c>
      <c r="M93" s="12">
        <f>VLOOKUP($D93,'732講義室'!$B$2:$J$34,9,FALSE)</f>
        <v>0</v>
      </c>
      <c r="N93" s="14">
        <f t="shared" si="15"/>
        <v>0</v>
      </c>
      <c r="O93" s="13" cm="1">
        <f t="array" ref="O93">_xlfn.LET(
  _xlpm.t, TIME(0, INT($H93/100), MOD($H93,100)),
  _xlfn.IFS(
    AND(_xlpm.t&gt;=TIME(0,7,1),  _xlpm.t&lt;=TIME(0,8,19)), 1,
    AND(_xlpm.t&gt;=TIME(0,6,1),  _xlpm.t&lt;=TIME(0,7,0)),  0.8,
    AND(_xlpm.t&gt;=TIME(0,8,20), _xlpm.t&lt;=TIME(0,8,59)), 0.8,
    AND(_xlpm.t&gt;=TIME(0,5,1),  _xlpm.t&lt;=TIME(0,6,0)),  0.5,
    AND(_xlpm.t&gt;=TIME(0,9,0),  _xlpm.t&lt;=TIME(0,9,59)), 0.5,
    TRUE, 0.3
  )
)</f>
        <v>0.3</v>
      </c>
      <c r="P93" s="11">
        <f t="shared" si="16"/>
        <v>0</v>
      </c>
      <c r="Q93" s="11">
        <f t="shared" si="17"/>
        <v>0</v>
      </c>
      <c r="R93" s="11">
        <f t="shared" si="18"/>
        <v>0</v>
      </c>
      <c r="S93" s="11">
        <f t="shared" si="19"/>
        <v>0</v>
      </c>
      <c r="T93" s="11">
        <f t="shared" si="20"/>
        <v>0</v>
      </c>
    </row>
    <row r="94" spans="1:20">
      <c r="A94" s="11" t="s">
        <v>224</v>
      </c>
      <c r="B94" s="11" t="s">
        <v>225</v>
      </c>
      <c r="C94" s="11" t="s">
        <v>22</v>
      </c>
      <c r="D94" s="11">
        <v>6</v>
      </c>
      <c r="E94" s="11">
        <v>12</v>
      </c>
      <c r="F94" s="12" t="s">
        <v>16</v>
      </c>
      <c r="G94" s="11">
        <f t="shared" si="14"/>
        <v>0</v>
      </c>
      <c r="H94" s="13">
        <f>VLOOKUP($D94,'732講義室'!$B$2:$F$34,2,FALSE)</f>
        <v>0</v>
      </c>
      <c r="I94" s="11">
        <f>VLOOKUP($D94,'732講義室'!$B$2:$F$34,3,FALSE)</f>
        <v>0</v>
      </c>
      <c r="J94" s="11">
        <f>VLOOKUP($D94,'732講義室'!$B$2:$F$34,4,FALSE)</f>
        <v>0</v>
      </c>
      <c r="K94" s="11">
        <f>VLOOKUP($D94,'732講義室'!$B$2:$F$34,5,FALSE)</f>
        <v>0</v>
      </c>
      <c r="L94" s="11">
        <f>VLOOKUP($A94,'732講義室'!$G$2:$I$34,3,FALSE)</f>
        <v>0</v>
      </c>
      <c r="M94" s="12">
        <f>VLOOKUP($D94,'732講義室'!$B$2:$J$34,9,FALSE)</f>
        <v>0</v>
      </c>
      <c r="N94" s="14">
        <f t="shared" si="15"/>
        <v>0</v>
      </c>
      <c r="O94" s="13" cm="1">
        <f t="array" ref="O94">_xlfn.LET(
  _xlpm.t, TIME(0, INT($H94/100), MOD($H94,100)),
  _xlfn.IFS(
    AND(_xlpm.t&gt;=TIME(0,7,1),  _xlpm.t&lt;=TIME(0,8,19)), 1,
    AND(_xlpm.t&gt;=TIME(0,6,1),  _xlpm.t&lt;=TIME(0,7,0)),  0.8,
    AND(_xlpm.t&gt;=TIME(0,8,20), _xlpm.t&lt;=TIME(0,8,59)), 0.8,
    AND(_xlpm.t&gt;=TIME(0,5,1),  _xlpm.t&lt;=TIME(0,6,0)),  0.5,
    AND(_xlpm.t&gt;=TIME(0,9,0),  _xlpm.t&lt;=TIME(0,9,59)), 0.5,
    TRUE, 0.3
  )
)</f>
        <v>0.3</v>
      </c>
      <c r="P94" s="11">
        <f t="shared" si="16"/>
        <v>0</v>
      </c>
      <c r="Q94" s="11">
        <f t="shared" si="17"/>
        <v>0</v>
      </c>
      <c r="R94" s="11">
        <f t="shared" si="18"/>
        <v>0</v>
      </c>
      <c r="S94" s="11">
        <f t="shared" si="19"/>
        <v>0</v>
      </c>
      <c r="T94" s="11">
        <f t="shared" si="20"/>
        <v>0</v>
      </c>
    </row>
    <row r="95" spans="1:20">
      <c r="A95" s="11" t="s">
        <v>28</v>
      </c>
      <c r="B95" s="11" t="s">
        <v>29</v>
      </c>
      <c r="C95" s="11" t="s">
        <v>22</v>
      </c>
      <c r="D95" s="11">
        <v>11</v>
      </c>
      <c r="E95" s="11">
        <v>5</v>
      </c>
      <c r="F95" s="12" t="s">
        <v>16</v>
      </c>
      <c r="G95" s="11">
        <f t="shared" si="14"/>
        <v>0</v>
      </c>
      <c r="H95" s="13">
        <f>VLOOKUP($D95,'732講義室'!$B$2:$F$34,2,FALSE)</f>
        <v>0</v>
      </c>
      <c r="I95" s="11">
        <f>VLOOKUP($D95,'732講義室'!$B$2:$F$34,3,FALSE)</f>
        <v>0</v>
      </c>
      <c r="J95" s="11">
        <f>VLOOKUP($D95,'732講義室'!$B$2:$F$34,4,FALSE)</f>
        <v>0</v>
      </c>
      <c r="K95" s="11">
        <f>VLOOKUP($D95,'732講義室'!$B$2:$F$34,5,FALSE)</f>
        <v>0</v>
      </c>
      <c r="L95" s="11">
        <f>VLOOKUP($A95,'732講義室'!$G$2:$I$34,3,FALSE)</f>
        <v>0</v>
      </c>
      <c r="M95" s="12">
        <f>VLOOKUP($D95,'732講義室'!$B$2:$J$34,9,FALSE)</f>
        <v>0</v>
      </c>
      <c r="N95" s="14">
        <f t="shared" si="15"/>
        <v>0</v>
      </c>
      <c r="O95" s="13" cm="1">
        <f t="array" ref="O95">_xlfn.LET(
  _xlpm.t, TIME(0, INT($H95/100), MOD($H95,100)),
  _xlfn.IFS(
    AND(_xlpm.t&gt;=TIME(0,7,1),  _xlpm.t&lt;=TIME(0,8,19)), 1,
    AND(_xlpm.t&gt;=TIME(0,6,1),  _xlpm.t&lt;=TIME(0,7,0)),  0.8,
    AND(_xlpm.t&gt;=TIME(0,8,20), _xlpm.t&lt;=TIME(0,8,59)), 0.8,
    AND(_xlpm.t&gt;=TIME(0,5,1),  _xlpm.t&lt;=TIME(0,6,0)),  0.5,
    AND(_xlpm.t&gt;=TIME(0,9,0),  _xlpm.t&lt;=TIME(0,9,59)), 0.5,
    TRUE, 0.3
  )
)</f>
        <v>0.3</v>
      </c>
      <c r="P95" s="11">
        <f t="shared" si="16"/>
        <v>0</v>
      </c>
      <c r="Q95" s="11">
        <f t="shared" si="17"/>
        <v>0</v>
      </c>
      <c r="R95" s="11">
        <f t="shared" si="18"/>
        <v>0</v>
      </c>
      <c r="S95" s="11">
        <f t="shared" si="19"/>
        <v>0</v>
      </c>
      <c r="T95" s="11">
        <f t="shared" si="20"/>
        <v>0</v>
      </c>
    </row>
    <row r="96" spans="1:20">
      <c r="A96" s="11" t="s">
        <v>168</v>
      </c>
      <c r="B96" s="11" t="s">
        <v>169</v>
      </c>
      <c r="C96" s="11" t="s">
        <v>22</v>
      </c>
      <c r="D96" s="11">
        <v>11</v>
      </c>
      <c r="E96" s="11">
        <v>5</v>
      </c>
      <c r="F96" s="12" t="s">
        <v>16</v>
      </c>
      <c r="G96" s="11">
        <f t="shared" si="14"/>
        <v>0</v>
      </c>
      <c r="H96" s="13">
        <f>VLOOKUP($D96,'732講義室'!$B$2:$F$34,2,FALSE)</f>
        <v>0</v>
      </c>
      <c r="I96" s="11">
        <f>VLOOKUP($D96,'732講義室'!$B$2:$F$34,3,FALSE)</f>
        <v>0</v>
      </c>
      <c r="J96" s="11">
        <f>VLOOKUP($D96,'732講義室'!$B$2:$F$34,4,FALSE)</f>
        <v>0</v>
      </c>
      <c r="K96" s="11">
        <f>VLOOKUP($D96,'732講義室'!$B$2:$F$34,5,FALSE)</f>
        <v>0</v>
      </c>
      <c r="L96" s="11">
        <f>VLOOKUP($A96,'732講義室'!$G$2:$I$34,3,FALSE)</f>
        <v>0</v>
      </c>
      <c r="M96" s="12">
        <f>VLOOKUP($D96,'732講義室'!$B$2:$J$34,9,FALSE)</f>
        <v>0</v>
      </c>
      <c r="N96" s="14">
        <f t="shared" si="15"/>
        <v>0</v>
      </c>
      <c r="O96" s="13" cm="1">
        <f t="array" ref="O96">_xlfn.LET(
  _xlpm.t, TIME(0, INT($H96/100), MOD($H96,100)),
  _xlfn.IFS(
    AND(_xlpm.t&gt;=TIME(0,7,1),  _xlpm.t&lt;=TIME(0,8,19)), 1,
    AND(_xlpm.t&gt;=TIME(0,6,1),  _xlpm.t&lt;=TIME(0,7,0)),  0.8,
    AND(_xlpm.t&gt;=TIME(0,8,20), _xlpm.t&lt;=TIME(0,8,59)), 0.8,
    AND(_xlpm.t&gt;=TIME(0,5,1),  _xlpm.t&lt;=TIME(0,6,0)),  0.5,
    AND(_xlpm.t&gt;=TIME(0,9,0),  _xlpm.t&lt;=TIME(0,9,59)), 0.5,
    TRUE, 0.3
  )
)</f>
        <v>0.3</v>
      </c>
      <c r="P96" s="11">
        <f t="shared" si="16"/>
        <v>0</v>
      </c>
      <c r="Q96" s="11">
        <f t="shared" si="17"/>
        <v>0</v>
      </c>
      <c r="R96" s="11">
        <f t="shared" si="18"/>
        <v>0</v>
      </c>
      <c r="S96" s="11">
        <f t="shared" si="19"/>
        <v>0</v>
      </c>
      <c r="T96" s="11">
        <f t="shared" si="20"/>
        <v>0</v>
      </c>
    </row>
    <row r="97" spans="1:20">
      <c r="A97" s="11" t="s">
        <v>178</v>
      </c>
      <c r="B97" s="11" t="s">
        <v>179</v>
      </c>
      <c r="C97" s="11" t="s">
        <v>22</v>
      </c>
      <c r="D97" s="11">
        <v>11</v>
      </c>
      <c r="E97" s="11">
        <v>5</v>
      </c>
      <c r="F97" s="12" t="s">
        <v>16</v>
      </c>
      <c r="G97" s="11">
        <f t="shared" si="14"/>
        <v>0</v>
      </c>
      <c r="H97" s="13">
        <f>VLOOKUP($D97,'732講義室'!$B$2:$F$34,2,FALSE)</f>
        <v>0</v>
      </c>
      <c r="I97" s="11">
        <f>VLOOKUP($D97,'732講義室'!$B$2:$F$34,3,FALSE)</f>
        <v>0</v>
      </c>
      <c r="J97" s="11">
        <f>VLOOKUP($D97,'732講義室'!$B$2:$F$34,4,FALSE)</f>
        <v>0</v>
      </c>
      <c r="K97" s="11">
        <f>VLOOKUP($D97,'732講義室'!$B$2:$F$34,5,FALSE)</f>
        <v>0</v>
      </c>
      <c r="L97" s="11">
        <f>VLOOKUP($A97,'732講義室'!$G$2:$I$34,3,FALSE)</f>
        <v>0</v>
      </c>
      <c r="M97" s="12">
        <f>VLOOKUP($D97,'732講義室'!$B$2:$J$34,9,FALSE)</f>
        <v>0</v>
      </c>
      <c r="N97" s="14">
        <f t="shared" si="15"/>
        <v>0</v>
      </c>
      <c r="O97" s="13" cm="1">
        <f t="array" ref="O97">_xlfn.LET(
  _xlpm.t, TIME(0, INT($H97/100), MOD($H97,100)),
  _xlfn.IFS(
    AND(_xlpm.t&gt;=TIME(0,7,1),  _xlpm.t&lt;=TIME(0,8,19)), 1,
    AND(_xlpm.t&gt;=TIME(0,6,1),  _xlpm.t&lt;=TIME(0,7,0)),  0.8,
    AND(_xlpm.t&gt;=TIME(0,8,20), _xlpm.t&lt;=TIME(0,8,59)), 0.8,
    AND(_xlpm.t&gt;=TIME(0,5,1),  _xlpm.t&lt;=TIME(0,6,0)),  0.5,
    AND(_xlpm.t&gt;=TIME(0,9,0),  _xlpm.t&lt;=TIME(0,9,59)), 0.5,
    TRUE, 0.3
  )
)</f>
        <v>0.3</v>
      </c>
      <c r="P97" s="11">
        <f t="shared" si="16"/>
        <v>0</v>
      </c>
      <c r="Q97" s="11">
        <f t="shared" si="17"/>
        <v>0</v>
      </c>
      <c r="R97" s="11">
        <f t="shared" si="18"/>
        <v>0</v>
      </c>
      <c r="S97" s="11">
        <f t="shared" si="19"/>
        <v>0</v>
      </c>
      <c r="T97" s="11">
        <f t="shared" si="20"/>
        <v>0</v>
      </c>
    </row>
    <row r="98" spans="1:20">
      <c r="A98" s="11" t="s">
        <v>60</v>
      </c>
      <c r="B98" s="11" t="s">
        <v>61</v>
      </c>
      <c r="C98" s="11" t="s">
        <v>22</v>
      </c>
      <c r="D98" s="11">
        <v>17</v>
      </c>
      <c r="E98" s="11">
        <v>4</v>
      </c>
      <c r="F98" s="12" t="s">
        <v>16</v>
      </c>
      <c r="G98" s="11">
        <f t="shared" ref="G98:G129" si="21">SUM($P98:$T98)*$O98</f>
        <v>0</v>
      </c>
      <c r="H98" s="13">
        <f>VLOOKUP($D98,'732講義室'!$B$2:$F$34,2,FALSE)</f>
        <v>0</v>
      </c>
      <c r="I98" s="11">
        <f>VLOOKUP($D98,'732講義室'!$B$2:$F$34,3,FALSE)</f>
        <v>0</v>
      </c>
      <c r="J98" s="11">
        <f>VLOOKUP($D98,'732講義室'!$B$2:$F$34,4,FALSE)</f>
        <v>0</v>
      </c>
      <c r="K98" s="11">
        <f>VLOOKUP($D98,'732講義室'!$B$2:$F$34,5,FALSE)</f>
        <v>0</v>
      </c>
      <c r="L98" s="11">
        <f>VLOOKUP($A98,'732講義室'!$G$2:$I$34,3,FALSE)</f>
        <v>0</v>
      </c>
      <c r="M98" s="12">
        <f>VLOOKUP($D98,'732講義室'!$B$2:$J$34,9,FALSE)</f>
        <v>0</v>
      </c>
      <c r="N98" s="14">
        <f t="shared" ref="N98:N129" si="22">TIME(0, INT($H98/100), MOD($H98,100))</f>
        <v>0</v>
      </c>
      <c r="O98" s="13" cm="1">
        <f t="array" ref="O98">_xlfn.LET(
  _xlpm.t, TIME(0, INT($H98/100), MOD($H98,100)),
  _xlfn.IFS(
    AND(_xlpm.t&gt;=TIME(0,7,1),  _xlpm.t&lt;=TIME(0,8,19)), 1,
    AND(_xlpm.t&gt;=TIME(0,6,1),  _xlpm.t&lt;=TIME(0,7,0)),  0.8,
    AND(_xlpm.t&gt;=TIME(0,8,20), _xlpm.t&lt;=TIME(0,8,59)), 0.8,
    AND(_xlpm.t&gt;=TIME(0,5,1),  _xlpm.t&lt;=TIME(0,6,0)),  0.5,
    AND(_xlpm.t&gt;=TIME(0,9,0),  _xlpm.t&lt;=TIME(0,9,59)), 0.5,
    TRUE, 0.3
  )
)</f>
        <v>0.3</v>
      </c>
      <c r="P98" s="11">
        <f t="shared" ref="P98:P129" si="23">VALUE(LEFT(I98,1))</f>
        <v>0</v>
      </c>
      <c r="Q98" s="11">
        <f t="shared" ref="Q98:Q129" si="24">VALUE(LEFT(J98,1))</f>
        <v>0</v>
      </c>
      <c r="R98" s="11">
        <f t="shared" ref="R98:R129" si="25">VALUE(LEFT(K98,1))</f>
        <v>0</v>
      </c>
      <c r="S98" s="11">
        <f t="shared" ref="S98:S129" si="26">VALUE(LEFT(L98,1))</f>
        <v>0</v>
      </c>
      <c r="T98" s="11">
        <f t="shared" ref="T98:T129" si="27">VALUE(LEFT(M98,1))</f>
        <v>0</v>
      </c>
    </row>
    <row r="99" spans="1:20">
      <c r="A99" s="11" t="s">
        <v>160</v>
      </c>
      <c r="B99" s="11" t="s">
        <v>161</v>
      </c>
      <c r="C99" s="11" t="s">
        <v>22</v>
      </c>
      <c r="D99" s="11">
        <v>17</v>
      </c>
      <c r="E99" s="11">
        <v>4</v>
      </c>
      <c r="F99" s="12" t="s">
        <v>16</v>
      </c>
      <c r="G99" s="11">
        <f t="shared" si="21"/>
        <v>0</v>
      </c>
      <c r="H99" s="13">
        <f>VLOOKUP($D99,'732講義室'!$B$2:$F$34,2,FALSE)</f>
        <v>0</v>
      </c>
      <c r="I99" s="11">
        <f>VLOOKUP($D99,'732講義室'!$B$2:$F$34,3,FALSE)</f>
        <v>0</v>
      </c>
      <c r="J99" s="11">
        <f>VLOOKUP($D99,'732講義室'!$B$2:$F$34,4,FALSE)</f>
        <v>0</v>
      </c>
      <c r="K99" s="11">
        <f>VLOOKUP($D99,'732講義室'!$B$2:$F$34,5,FALSE)</f>
        <v>0</v>
      </c>
      <c r="L99" s="11">
        <f>VLOOKUP($A99,'732講義室'!$G$2:$I$34,3,FALSE)</f>
        <v>0</v>
      </c>
      <c r="M99" s="12">
        <f>VLOOKUP($D99,'732講義室'!$B$2:$J$34,9,FALSE)</f>
        <v>0</v>
      </c>
      <c r="N99" s="14">
        <f t="shared" si="22"/>
        <v>0</v>
      </c>
      <c r="O99" s="13" cm="1">
        <f t="array" ref="O99">_xlfn.LET(
  _xlpm.t, TIME(0, INT($H99/100), MOD($H99,100)),
  _xlfn.IFS(
    AND(_xlpm.t&gt;=TIME(0,7,1),  _xlpm.t&lt;=TIME(0,8,19)), 1,
    AND(_xlpm.t&gt;=TIME(0,6,1),  _xlpm.t&lt;=TIME(0,7,0)),  0.8,
    AND(_xlpm.t&gt;=TIME(0,8,20), _xlpm.t&lt;=TIME(0,8,59)), 0.8,
    AND(_xlpm.t&gt;=TIME(0,5,1),  _xlpm.t&lt;=TIME(0,6,0)),  0.5,
    AND(_xlpm.t&gt;=TIME(0,9,0),  _xlpm.t&lt;=TIME(0,9,59)), 0.5,
    TRUE, 0.3
  )
)</f>
        <v>0.3</v>
      </c>
      <c r="P99" s="11">
        <f t="shared" si="23"/>
        <v>0</v>
      </c>
      <c r="Q99" s="11">
        <f t="shared" si="24"/>
        <v>0</v>
      </c>
      <c r="R99" s="11">
        <f t="shared" si="25"/>
        <v>0</v>
      </c>
      <c r="S99" s="11">
        <f t="shared" si="26"/>
        <v>0</v>
      </c>
      <c r="T99" s="11">
        <f t="shared" si="27"/>
        <v>0</v>
      </c>
    </row>
    <row r="100" spans="1:20">
      <c r="A100" s="11" t="s">
        <v>166</v>
      </c>
      <c r="B100" s="11" t="s">
        <v>167</v>
      </c>
      <c r="C100" s="11" t="s">
        <v>22</v>
      </c>
      <c r="D100" s="11">
        <v>17</v>
      </c>
      <c r="E100" s="11">
        <v>4</v>
      </c>
      <c r="F100" s="12" t="s">
        <v>16</v>
      </c>
      <c r="G100" s="11">
        <f t="shared" si="21"/>
        <v>0</v>
      </c>
      <c r="H100" s="13">
        <f>VLOOKUP($D100,'732講義室'!$B$2:$F$34,2,FALSE)</f>
        <v>0</v>
      </c>
      <c r="I100" s="11">
        <f>VLOOKUP($D100,'732講義室'!$B$2:$F$34,3,FALSE)</f>
        <v>0</v>
      </c>
      <c r="J100" s="11">
        <f>VLOOKUP($D100,'732講義室'!$B$2:$F$34,4,FALSE)</f>
        <v>0</v>
      </c>
      <c r="K100" s="11">
        <f>VLOOKUP($D100,'732講義室'!$B$2:$F$34,5,FALSE)</f>
        <v>0</v>
      </c>
      <c r="L100" s="11">
        <f>VLOOKUP($A100,'732講義室'!$G$2:$I$34,3,FALSE)</f>
        <v>0</v>
      </c>
      <c r="M100" s="12">
        <f>VLOOKUP($D100,'732講義室'!$B$2:$J$34,9,FALSE)</f>
        <v>0</v>
      </c>
      <c r="N100" s="14">
        <f t="shared" si="22"/>
        <v>0</v>
      </c>
      <c r="O100" s="13" cm="1">
        <f t="array" ref="O100">_xlfn.LET(
  _xlpm.t, TIME(0, INT($H100/100), MOD($H100,100)),
  _xlfn.IFS(
    AND(_xlpm.t&gt;=TIME(0,7,1),  _xlpm.t&lt;=TIME(0,8,19)), 1,
    AND(_xlpm.t&gt;=TIME(0,6,1),  _xlpm.t&lt;=TIME(0,7,0)),  0.8,
    AND(_xlpm.t&gt;=TIME(0,8,20), _xlpm.t&lt;=TIME(0,8,59)), 0.8,
    AND(_xlpm.t&gt;=TIME(0,5,1),  _xlpm.t&lt;=TIME(0,6,0)),  0.5,
    AND(_xlpm.t&gt;=TIME(0,9,0),  _xlpm.t&lt;=TIME(0,9,59)), 0.5,
    TRUE, 0.3
  )
)</f>
        <v>0.3</v>
      </c>
      <c r="P100" s="11">
        <f t="shared" si="23"/>
        <v>0</v>
      </c>
      <c r="Q100" s="11">
        <f t="shared" si="24"/>
        <v>0</v>
      </c>
      <c r="R100" s="11">
        <f t="shared" si="25"/>
        <v>0</v>
      </c>
      <c r="S100" s="11">
        <f t="shared" si="26"/>
        <v>0</v>
      </c>
      <c r="T100" s="11">
        <f t="shared" si="27"/>
        <v>0</v>
      </c>
    </row>
    <row r="101" spans="1:20" hidden="1">
      <c r="A101" s="11">
        <v>2231037</v>
      </c>
      <c r="B101" s="11" t="s">
        <v>3</v>
      </c>
      <c r="C101" s="11" t="s">
        <v>1</v>
      </c>
      <c r="D101" s="11">
        <v>44</v>
      </c>
      <c r="E101" s="11">
        <v>44</v>
      </c>
      <c r="F101" s="12" t="s">
        <v>2</v>
      </c>
      <c r="G101" s="11">
        <f t="shared" si="21"/>
        <v>0</v>
      </c>
      <c r="H101" s="13">
        <f>VLOOKUP($D101,'733講義室'!$B$2:$F$39,2,FALSE)</f>
        <v>0</v>
      </c>
      <c r="I101" s="11">
        <f>VLOOKUP($D101,'733講義室'!$B$2:$F$39,3,FALSE)</f>
        <v>0</v>
      </c>
      <c r="J101" s="11">
        <f>VLOOKUP($D101,'733講義室'!$B$2:$F$39,4,FALSE)</f>
        <v>0</v>
      </c>
      <c r="K101" s="11">
        <f>VLOOKUP($D101,'733講義室'!$B$2:$F$39,5,FALSE)</f>
        <v>0</v>
      </c>
      <c r="L101" s="11">
        <f>VLOOKUP($A101,'733講義室'!$G$2:$I$39,3,FALSE)</f>
        <v>0</v>
      </c>
      <c r="M101" s="12">
        <f>VLOOKUP($D101,'733講義室'!$B$2:$J$39,9,FALSE)</f>
        <v>0</v>
      </c>
      <c r="N101" s="14">
        <f t="shared" si="22"/>
        <v>0</v>
      </c>
      <c r="O101" s="13" cm="1">
        <f t="array" ref="O101">_xlfn.LET(
  _xlpm.t, TIME(0, INT($H101/100), MOD($H101,100)),
  _xlfn.IFS(
    AND(_xlpm.t&gt;=TIME(0,7,1),  _xlpm.t&lt;=TIME(0,8,19)), 1,
    AND(_xlpm.t&gt;=TIME(0,6,1),  _xlpm.t&lt;=TIME(0,7,0)),  0.8,
    AND(_xlpm.t&gt;=TIME(0,8,20), _xlpm.t&lt;=TIME(0,8,59)), 0.8,
    AND(_xlpm.t&gt;=TIME(0,5,1),  _xlpm.t&lt;=TIME(0,6,0)),  0.5,
    AND(_xlpm.t&gt;=TIME(0,9,0),  _xlpm.t&lt;=TIME(0,9,59)), 0.5,
    TRUE, 0.3
  )
)</f>
        <v>0.3</v>
      </c>
      <c r="P101" s="11">
        <f t="shared" si="23"/>
        <v>0</v>
      </c>
      <c r="Q101" s="11">
        <f t="shared" si="24"/>
        <v>0</v>
      </c>
      <c r="R101" s="11">
        <f t="shared" si="25"/>
        <v>0</v>
      </c>
      <c r="S101" s="11">
        <f t="shared" si="26"/>
        <v>0</v>
      </c>
      <c r="T101" s="11">
        <f t="shared" si="27"/>
        <v>0</v>
      </c>
    </row>
    <row r="102" spans="1:20" hidden="1">
      <c r="A102" s="11">
        <v>2231138</v>
      </c>
      <c r="B102" s="11" t="s">
        <v>6</v>
      </c>
      <c r="C102" s="11" t="s">
        <v>1</v>
      </c>
      <c r="D102" s="11">
        <v>44</v>
      </c>
      <c r="E102" s="11">
        <v>44</v>
      </c>
      <c r="F102" s="12" t="s">
        <v>2</v>
      </c>
      <c r="G102" s="11">
        <f t="shared" si="21"/>
        <v>0</v>
      </c>
      <c r="H102" s="13">
        <f>VLOOKUP($D102,'733講義室'!$B$2:$F$39,2,FALSE)</f>
        <v>0</v>
      </c>
      <c r="I102" s="11">
        <f>VLOOKUP($D102,'733講義室'!$B$2:$F$39,3,FALSE)</f>
        <v>0</v>
      </c>
      <c r="J102" s="11">
        <f>VLOOKUP($D102,'733講義室'!$B$2:$F$39,4,FALSE)</f>
        <v>0</v>
      </c>
      <c r="K102" s="11">
        <f>VLOOKUP($D102,'733講義室'!$B$2:$F$39,5,FALSE)</f>
        <v>0</v>
      </c>
      <c r="L102" s="11">
        <f>VLOOKUP($A102,'733講義室'!$G$2:$I$39,3,FALSE)</f>
        <v>0</v>
      </c>
      <c r="M102" s="12">
        <f>VLOOKUP($D102,'733講義室'!$B$2:$J$39,9,FALSE)</f>
        <v>0</v>
      </c>
      <c r="N102" s="14">
        <f t="shared" si="22"/>
        <v>0</v>
      </c>
      <c r="O102" s="13" cm="1">
        <f t="array" ref="O102">_xlfn.LET(
  _xlpm.t, TIME(0, INT($H102/100), MOD($H102,100)),
  _xlfn.IFS(
    AND(_xlpm.t&gt;=TIME(0,7,1),  _xlpm.t&lt;=TIME(0,8,19)), 1,
    AND(_xlpm.t&gt;=TIME(0,6,1),  _xlpm.t&lt;=TIME(0,7,0)),  0.8,
    AND(_xlpm.t&gt;=TIME(0,8,20), _xlpm.t&lt;=TIME(0,8,59)), 0.8,
    AND(_xlpm.t&gt;=TIME(0,5,1),  _xlpm.t&lt;=TIME(0,6,0)),  0.5,
    AND(_xlpm.t&gt;=TIME(0,9,0),  _xlpm.t&lt;=TIME(0,9,59)), 0.5,
    TRUE, 0.3
  )
)</f>
        <v>0.3</v>
      </c>
      <c r="P102" s="11">
        <f t="shared" si="23"/>
        <v>0</v>
      </c>
      <c r="Q102" s="11">
        <f t="shared" si="24"/>
        <v>0</v>
      </c>
      <c r="R102" s="11">
        <f t="shared" si="25"/>
        <v>0</v>
      </c>
      <c r="S102" s="11">
        <f t="shared" si="26"/>
        <v>0</v>
      </c>
      <c r="T102" s="11">
        <f t="shared" si="27"/>
        <v>0</v>
      </c>
    </row>
    <row r="103" spans="1:20" hidden="1">
      <c r="A103" s="11">
        <v>2331087</v>
      </c>
      <c r="B103" s="11" t="s">
        <v>9</v>
      </c>
      <c r="C103" s="11" t="s">
        <v>1</v>
      </c>
      <c r="D103" s="11">
        <v>44</v>
      </c>
      <c r="E103" s="11">
        <v>44</v>
      </c>
      <c r="F103" s="12" t="s">
        <v>2</v>
      </c>
      <c r="G103" s="11" t="e">
        <f t="shared" si="21"/>
        <v>#N/A</v>
      </c>
      <c r="H103" s="13">
        <f>VLOOKUP($D103,'733講義室'!$B$2:$F$39,2,FALSE)</f>
        <v>0</v>
      </c>
      <c r="I103" s="11">
        <f>VLOOKUP($D103,'733講義室'!$B$2:$F$39,3,FALSE)</f>
        <v>0</v>
      </c>
      <c r="J103" s="11">
        <f>VLOOKUP($D103,'733講義室'!$B$2:$F$39,4,FALSE)</f>
        <v>0</v>
      </c>
      <c r="K103" s="11">
        <f>VLOOKUP($D103,'733講義室'!$B$2:$F$39,5,FALSE)</f>
        <v>0</v>
      </c>
      <c r="L103" s="11" t="e">
        <f>VLOOKUP($A103,'733講義室'!$G$2:$I$39,3,FALSE)</f>
        <v>#N/A</v>
      </c>
      <c r="M103" s="12">
        <f>VLOOKUP($D103,'733講義室'!$B$2:$J$39,9,FALSE)</f>
        <v>0</v>
      </c>
      <c r="N103" s="14">
        <f t="shared" si="22"/>
        <v>0</v>
      </c>
      <c r="O103" s="13" cm="1">
        <f t="array" ref="O103">_xlfn.LET(
  _xlpm.t, TIME(0, INT($H103/100), MOD($H103,100)),
  _xlfn.IFS(
    AND(_xlpm.t&gt;=TIME(0,7,1),  _xlpm.t&lt;=TIME(0,8,19)), 1,
    AND(_xlpm.t&gt;=TIME(0,6,1),  _xlpm.t&lt;=TIME(0,7,0)),  0.8,
    AND(_xlpm.t&gt;=TIME(0,8,20), _xlpm.t&lt;=TIME(0,8,59)), 0.8,
    AND(_xlpm.t&gt;=TIME(0,5,1),  _xlpm.t&lt;=TIME(0,6,0)),  0.5,
    AND(_xlpm.t&gt;=TIME(0,9,0),  _xlpm.t&lt;=TIME(0,9,59)), 0.5,
    TRUE, 0.3
  )
)</f>
        <v>0.3</v>
      </c>
      <c r="P103" s="11">
        <f t="shared" si="23"/>
        <v>0</v>
      </c>
      <c r="Q103" s="11">
        <f t="shared" si="24"/>
        <v>0</v>
      </c>
      <c r="R103" s="11">
        <f t="shared" si="25"/>
        <v>0</v>
      </c>
      <c r="S103" s="11" t="e">
        <f t="shared" si="26"/>
        <v>#N/A</v>
      </c>
      <c r="T103" s="11">
        <f t="shared" si="27"/>
        <v>0</v>
      </c>
    </row>
    <row r="104" spans="1:20" hidden="1">
      <c r="A104" s="11">
        <v>2331138</v>
      </c>
      <c r="B104" s="11" t="s">
        <v>10</v>
      </c>
      <c r="C104" s="11" t="s">
        <v>1</v>
      </c>
      <c r="D104" s="11">
        <v>44</v>
      </c>
      <c r="E104" s="11">
        <v>44</v>
      </c>
      <c r="F104" s="12" t="s">
        <v>2</v>
      </c>
      <c r="G104" s="11">
        <f t="shared" si="21"/>
        <v>0</v>
      </c>
      <c r="H104" s="13">
        <f>VLOOKUP($D104,'733講義室'!$B$2:$F$39,2,FALSE)</f>
        <v>0</v>
      </c>
      <c r="I104" s="11">
        <f>VLOOKUP($D104,'733講義室'!$B$2:$F$39,3,FALSE)</f>
        <v>0</v>
      </c>
      <c r="J104" s="11">
        <f>VLOOKUP($D104,'733講義室'!$B$2:$F$39,4,FALSE)</f>
        <v>0</v>
      </c>
      <c r="K104" s="11">
        <f>VLOOKUP($D104,'733講義室'!$B$2:$F$39,5,FALSE)</f>
        <v>0</v>
      </c>
      <c r="L104" s="11">
        <f>VLOOKUP($A104,'733講義室'!$G$2:$I$39,3,FALSE)</f>
        <v>0</v>
      </c>
      <c r="M104" s="12">
        <f>VLOOKUP($D104,'733講義室'!$B$2:$J$39,9,FALSE)</f>
        <v>0</v>
      </c>
      <c r="N104" s="14">
        <f t="shared" si="22"/>
        <v>0</v>
      </c>
      <c r="O104" s="13" cm="1">
        <f t="array" ref="O104">_xlfn.LET(
  _xlpm.t, TIME(0, INT($H104/100), MOD($H104,100)),
  _xlfn.IFS(
    AND(_xlpm.t&gt;=TIME(0,7,1),  _xlpm.t&lt;=TIME(0,8,19)), 1,
    AND(_xlpm.t&gt;=TIME(0,6,1),  _xlpm.t&lt;=TIME(0,7,0)),  0.8,
    AND(_xlpm.t&gt;=TIME(0,8,20), _xlpm.t&lt;=TIME(0,8,59)), 0.8,
    AND(_xlpm.t&gt;=TIME(0,5,1),  _xlpm.t&lt;=TIME(0,6,0)),  0.5,
    AND(_xlpm.t&gt;=TIME(0,9,0),  _xlpm.t&lt;=TIME(0,9,59)), 0.5,
    TRUE, 0.3
  )
)</f>
        <v>0.3</v>
      </c>
      <c r="P104" s="11">
        <f t="shared" si="23"/>
        <v>0</v>
      </c>
      <c r="Q104" s="11">
        <f t="shared" si="24"/>
        <v>0</v>
      </c>
      <c r="R104" s="11">
        <f t="shared" si="25"/>
        <v>0</v>
      </c>
      <c r="S104" s="11">
        <f t="shared" si="26"/>
        <v>0</v>
      </c>
      <c r="T104" s="11">
        <f t="shared" si="27"/>
        <v>0</v>
      </c>
    </row>
    <row r="105" spans="1:20" hidden="1">
      <c r="A105" s="11">
        <v>2331143</v>
      </c>
      <c r="B105" s="11" t="s">
        <v>11</v>
      </c>
      <c r="C105" s="11" t="s">
        <v>1</v>
      </c>
      <c r="D105" s="11">
        <v>44</v>
      </c>
      <c r="E105" s="11">
        <v>44</v>
      </c>
      <c r="F105" s="12" t="s">
        <v>2</v>
      </c>
      <c r="G105" s="11">
        <f t="shared" si="21"/>
        <v>0</v>
      </c>
      <c r="H105" s="13">
        <f>VLOOKUP($D105,'733講義室'!$B$2:$F$39,2,FALSE)</f>
        <v>0</v>
      </c>
      <c r="I105" s="11">
        <f>VLOOKUP($D105,'733講義室'!$B$2:$F$39,3,FALSE)</f>
        <v>0</v>
      </c>
      <c r="J105" s="11">
        <f>VLOOKUP($D105,'733講義室'!$B$2:$F$39,4,FALSE)</f>
        <v>0</v>
      </c>
      <c r="K105" s="11">
        <f>VLOOKUP($D105,'733講義室'!$B$2:$F$39,5,FALSE)</f>
        <v>0</v>
      </c>
      <c r="L105" s="11">
        <f>VLOOKUP($A105,'733講義室'!$G$2:$I$39,3,FALSE)</f>
        <v>0</v>
      </c>
      <c r="M105" s="12">
        <f>VLOOKUP($D105,'733講義室'!$B$2:$J$39,9,FALSE)</f>
        <v>0</v>
      </c>
      <c r="N105" s="14">
        <f t="shared" si="22"/>
        <v>0</v>
      </c>
      <c r="O105" s="13" cm="1">
        <f t="array" ref="O105">_xlfn.LET(
  _xlpm.t, TIME(0, INT($H105/100), MOD($H105,100)),
  _xlfn.IFS(
    AND(_xlpm.t&gt;=TIME(0,7,1),  _xlpm.t&lt;=TIME(0,8,19)), 1,
    AND(_xlpm.t&gt;=TIME(0,6,1),  _xlpm.t&lt;=TIME(0,7,0)),  0.8,
    AND(_xlpm.t&gt;=TIME(0,8,20), _xlpm.t&lt;=TIME(0,8,59)), 0.8,
    AND(_xlpm.t&gt;=TIME(0,5,1),  _xlpm.t&lt;=TIME(0,6,0)),  0.5,
    AND(_xlpm.t&gt;=TIME(0,9,0),  _xlpm.t&lt;=TIME(0,9,59)), 0.5,
    TRUE, 0.3
  )
)</f>
        <v>0.3</v>
      </c>
      <c r="P105" s="11">
        <f t="shared" si="23"/>
        <v>0</v>
      </c>
      <c r="Q105" s="11">
        <f t="shared" si="24"/>
        <v>0</v>
      </c>
      <c r="R105" s="11">
        <f t="shared" si="25"/>
        <v>0</v>
      </c>
      <c r="S105" s="11">
        <f t="shared" si="26"/>
        <v>0</v>
      </c>
      <c r="T105" s="11">
        <f t="shared" si="27"/>
        <v>0</v>
      </c>
    </row>
    <row r="106" spans="1:20" hidden="1">
      <c r="A106" s="11" t="s">
        <v>12</v>
      </c>
      <c r="B106" s="11" t="s">
        <v>13</v>
      </c>
      <c r="C106" s="11" t="s">
        <v>1</v>
      </c>
      <c r="D106" s="11">
        <v>44</v>
      </c>
      <c r="E106" s="11">
        <v>44</v>
      </c>
      <c r="F106" s="12" t="s">
        <v>2</v>
      </c>
      <c r="G106" s="11">
        <f t="shared" si="21"/>
        <v>0</v>
      </c>
      <c r="H106" s="13">
        <f>VLOOKUP($D106,'733講義室'!$B$2:$F$39,2,FALSE)</f>
        <v>0</v>
      </c>
      <c r="I106" s="11">
        <f>VLOOKUP($D106,'733講義室'!$B$2:$F$39,3,FALSE)</f>
        <v>0</v>
      </c>
      <c r="J106" s="11">
        <f>VLOOKUP($D106,'733講義室'!$B$2:$F$39,4,FALSE)</f>
        <v>0</v>
      </c>
      <c r="K106" s="11">
        <f>VLOOKUP($D106,'733講義室'!$B$2:$F$39,5,FALSE)</f>
        <v>0</v>
      </c>
      <c r="L106" s="11">
        <f>VLOOKUP($A106,'733講義室'!$G$2:$I$39,3,FALSE)</f>
        <v>0</v>
      </c>
      <c r="M106" s="12">
        <f>VLOOKUP($D106,'733講義室'!$B$2:$J$39,9,FALSE)</f>
        <v>0</v>
      </c>
      <c r="N106" s="14">
        <f t="shared" si="22"/>
        <v>0</v>
      </c>
      <c r="O106" s="13" cm="1">
        <f t="array" ref="O106">_xlfn.LET(
  _xlpm.t, TIME(0, INT($H106/100), MOD($H106,100)),
  _xlfn.IFS(
    AND(_xlpm.t&gt;=TIME(0,7,1),  _xlpm.t&lt;=TIME(0,8,19)), 1,
    AND(_xlpm.t&gt;=TIME(0,6,1),  _xlpm.t&lt;=TIME(0,7,0)),  0.8,
    AND(_xlpm.t&gt;=TIME(0,8,20), _xlpm.t&lt;=TIME(0,8,59)), 0.8,
    AND(_xlpm.t&gt;=TIME(0,5,1),  _xlpm.t&lt;=TIME(0,6,0)),  0.5,
    AND(_xlpm.t&gt;=TIME(0,9,0),  _xlpm.t&lt;=TIME(0,9,59)), 0.5,
    TRUE, 0.3
  )
)</f>
        <v>0.3</v>
      </c>
      <c r="P106" s="11">
        <f t="shared" si="23"/>
        <v>0</v>
      </c>
      <c r="Q106" s="11">
        <f t="shared" si="24"/>
        <v>0</v>
      </c>
      <c r="R106" s="11">
        <f t="shared" si="25"/>
        <v>0</v>
      </c>
      <c r="S106" s="11">
        <f t="shared" si="26"/>
        <v>0</v>
      </c>
      <c r="T106" s="11">
        <f t="shared" si="27"/>
        <v>0</v>
      </c>
    </row>
    <row r="107" spans="1:20" hidden="1">
      <c r="A107" s="11">
        <v>2131071</v>
      </c>
      <c r="B107" s="11" t="s">
        <v>0</v>
      </c>
      <c r="C107" s="11" t="s">
        <v>1</v>
      </c>
      <c r="D107" s="11">
        <v>43</v>
      </c>
      <c r="E107" s="11">
        <v>43</v>
      </c>
      <c r="F107" s="12" t="s">
        <v>274</v>
      </c>
      <c r="G107" s="11">
        <f t="shared" si="21"/>
        <v>0</v>
      </c>
      <c r="H107" s="13">
        <f>VLOOKUP($D107,'733講義室'!$B$2:$F$39,2,FALSE)</f>
        <v>0</v>
      </c>
      <c r="I107" s="11">
        <f>VLOOKUP($D107,'733講義室'!$B$2:$F$39,3,FALSE)</f>
        <v>0</v>
      </c>
      <c r="J107" s="11">
        <f>VLOOKUP($D107,'733講義室'!$B$2:$F$39,4,FALSE)</f>
        <v>0</v>
      </c>
      <c r="K107" s="11">
        <f>VLOOKUP($D107,'733講義室'!$B$2:$F$39,5,FALSE)</f>
        <v>0</v>
      </c>
      <c r="L107" s="11">
        <f>VLOOKUP($A107,'733講義室'!$G$2:$I$39,3,FALSE)</f>
        <v>0</v>
      </c>
      <c r="M107" s="12">
        <f>VLOOKUP($D107,'733講義室'!$B$2:$J$39,9,FALSE)</f>
        <v>0</v>
      </c>
      <c r="N107" s="14">
        <f t="shared" si="22"/>
        <v>0</v>
      </c>
      <c r="O107" s="13" cm="1">
        <f t="array" ref="O107">_xlfn.LET(
  _xlpm.t, TIME(0, INT($H107/100), MOD($H107,100)),
  _xlfn.IFS(
    AND(_xlpm.t&gt;=TIME(0,7,1),  _xlpm.t&lt;=TIME(0,8,19)), 1,
    AND(_xlpm.t&gt;=TIME(0,6,1),  _xlpm.t&lt;=TIME(0,7,0)),  0.8,
    AND(_xlpm.t&gt;=TIME(0,8,20), _xlpm.t&lt;=TIME(0,8,59)), 0.8,
    AND(_xlpm.t&gt;=TIME(0,5,1),  _xlpm.t&lt;=TIME(0,6,0)),  0.5,
    AND(_xlpm.t&gt;=TIME(0,9,0),  _xlpm.t&lt;=TIME(0,9,59)), 0.5,
    TRUE, 0.3
  )
)</f>
        <v>0.3</v>
      </c>
      <c r="P107" s="11">
        <f t="shared" si="23"/>
        <v>0</v>
      </c>
      <c r="Q107" s="11">
        <f t="shared" si="24"/>
        <v>0</v>
      </c>
      <c r="R107" s="11">
        <f t="shared" si="25"/>
        <v>0</v>
      </c>
      <c r="S107" s="11">
        <f t="shared" si="26"/>
        <v>0</v>
      </c>
      <c r="T107" s="11">
        <f t="shared" si="27"/>
        <v>0</v>
      </c>
    </row>
    <row r="108" spans="1:20" hidden="1">
      <c r="A108" s="11">
        <v>2231108</v>
      </c>
      <c r="B108" s="11" t="s">
        <v>4</v>
      </c>
      <c r="C108" s="11" t="s">
        <v>1</v>
      </c>
      <c r="D108" s="11">
        <v>43</v>
      </c>
      <c r="E108" s="11">
        <v>43</v>
      </c>
      <c r="F108" s="12" t="s">
        <v>2</v>
      </c>
      <c r="G108" s="11">
        <f t="shared" si="21"/>
        <v>0</v>
      </c>
      <c r="H108" s="13">
        <f>VLOOKUP($D108,'733講義室'!$B$2:$F$39,2,FALSE)</f>
        <v>0</v>
      </c>
      <c r="I108" s="11">
        <f>VLOOKUP($D108,'733講義室'!$B$2:$F$39,3,FALSE)</f>
        <v>0</v>
      </c>
      <c r="J108" s="11">
        <f>VLOOKUP($D108,'733講義室'!$B$2:$F$39,4,FALSE)</f>
        <v>0</v>
      </c>
      <c r="K108" s="11">
        <f>VLOOKUP($D108,'733講義室'!$B$2:$F$39,5,FALSE)</f>
        <v>0</v>
      </c>
      <c r="L108" s="11">
        <f>VLOOKUP($A108,'733講義室'!$G$2:$I$39,3,FALSE)</f>
        <v>0</v>
      </c>
      <c r="M108" s="12">
        <f>VLOOKUP($D108,'733講義室'!$B$2:$J$39,9,FALSE)</f>
        <v>0</v>
      </c>
      <c r="N108" s="14">
        <f t="shared" si="22"/>
        <v>0</v>
      </c>
      <c r="O108" s="13" cm="1">
        <f t="array" ref="O108">_xlfn.LET(
  _xlpm.t, TIME(0, INT($H108/100), MOD($H108,100)),
  _xlfn.IFS(
    AND(_xlpm.t&gt;=TIME(0,7,1),  _xlpm.t&lt;=TIME(0,8,19)), 1,
    AND(_xlpm.t&gt;=TIME(0,6,1),  _xlpm.t&lt;=TIME(0,7,0)),  0.8,
    AND(_xlpm.t&gt;=TIME(0,8,20), _xlpm.t&lt;=TIME(0,8,59)), 0.8,
    AND(_xlpm.t&gt;=TIME(0,5,1),  _xlpm.t&lt;=TIME(0,6,0)),  0.5,
    AND(_xlpm.t&gt;=TIME(0,9,0),  _xlpm.t&lt;=TIME(0,9,59)), 0.5,
    TRUE, 0.3
  )
)</f>
        <v>0.3</v>
      </c>
      <c r="P108" s="11">
        <f t="shared" si="23"/>
        <v>0</v>
      </c>
      <c r="Q108" s="11">
        <f t="shared" si="24"/>
        <v>0</v>
      </c>
      <c r="R108" s="11">
        <f t="shared" si="25"/>
        <v>0</v>
      </c>
      <c r="S108" s="11">
        <f t="shared" si="26"/>
        <v>0</v>
      </c>
      <c r="T108" s="11">
        <f t="shared" si="27"/>
        <v>0</v>
      </c>
    </row>
    <row r="109" spans="1:20" hidden="1">
      <c r="A109" s="11">
        <v>2231119</v>
      </c>
      <c r="B109" s="11" t="s">
        <v>5</v>
      </c>
      <c r="C109" s="11" t="s">
        <v>1</v>
      </c>
      <c r="D109" s="11">
        <v>43</v>
      </c>
      <c r="E109" s="11">
        <v>43</v>
      </c>
      <c r="F109" s="12" t="s">
        <v>2</v>
      </c>
      <c r="G109" s="11">
        <f t="shared" si="21"/>
        <v>0</v>
      </c>
      <c r="H109" s="13">
        <f>VLOOKUP($D109,'733講義室'!$B$2:$F$39,2,FALSE)</f>
        <v>0</v>
      </c>
      <c r="I109" s="11">
        <f>VLOOKUP($D109,'733講義室'!$B$2:$F$39,3,FALSE)</f>
        <v>0</v>
      </c>
      <c r="J109" s="11">
        <f>VLOOKUP($D109,'733講義室'!$B$2:$F$39,4,FALSE)</f>
        <v>0</v>
      </c>
      <c r="K109" s="11">
        <f>VLOOKUP($D109,'733講義室'!$B$2:$F$39,5,FALSE)</f>
        <v>0</v>
      </c>
      <c r="L109" s="11">
        <f>VLOOKUP($A109,'733講義室'!$G$2:$I$39,3,FALSE)</f>
        <v>0</v>
      </c>
      <c r="M109" s="12">
        <f>VLOOKUP($D109,'733講義室'!$B$2:$J$39,9,FALSE)</f>
        <v>0</v>
      </c>
      <c r="N109" s="14">
        <f t="shared" si="22"/>
        <v>0</v>
      </c>
      <c r="O109" s="13" cm="1">
        <f t="array" ref="O109">_xlfn.LET(
  _xlpm.t, TIME(0, INT($H109/100), MOD($H109,100)),
  _xlfn.IFS(
    AND(_xlpm.t&gt;=TIME(0,7,1),  _xlpm.t&lt;=TIME(0,8,19)), 1,
    AND(_xlpm.t&gt;=TIME(0,6,1),  _xlpm.t&lt;=TIME(0,7,0)),  0.8,
    AND(_xlpm.t&gt;=TIME(0,8,20), _xlpm.t&lt;=TIME(0,8,59)), 0.8,
    AND(_xlpm.t&gt;=TIME(0,5,1),  _xlpm.t&lt;=TIME(0,6,0)),  0.5,
    AND(_xlpm.t&gt;=TIME(0,9,0),  _xlpm.t&lt;=TIME(0,9,59)), 0.5,
    TRUE, 0.3
  )
)</f>
        <v>0.3</v>
      </c>
      <c r="P109" s="11">
        <f t="shared" si="23"/>
        <v>0</v>
      </c>
      <c r="Q109" s="11">
        <f t="shared" si="24"/>
        <v>0</v>
      </c>
      <c r="R109" s="11">
        <f t="shared" si="25"/>
        <v>0</v>
      </c>
      <c r="S109" s="11">
        <f t="shared" si="26"/>
        <v>0</v>
      </c>
      <c r="T109" s="11">
        <f t="shared" si="27"/>
        <v>0</v>
      </c>
    </row>
    <row r="110" spans="1:20" hidden="1">
      <c r="A110" s="11">
        <v>2231161</v>
      </c>
      <c r="B110" s="11" t="s">
        <v>7</v>
      </c>
      <c r="C110" s="11" t="s">
        <v>1</v>
      </c>
      <c r="D110" s="11">
        <v>43</v>
      </c>
      <c r="E110" s="11">
        <v>43</v>
      </c>
      <c r="F110" s="12" t="s">
        <v>2</v>
      </c>
      <c r="G110" s="11">
        <f t="shared" si="21"/>
        <v>0</v>
      </c>
      <c r="H110" s="13">
        <f>VLOOKUP($D110,'733講義室'!$B$2:$F$39,2,FALSE)</f>
        <v>0</v>
      </c>
      <c r="I110" s="11">
        <f>VLOOKUP($D110,'733講義室'!$B$2:$F$39,3,FALSE)</f>
        <v>0</v>
      </c>
      <c r="J110" s="11">
        <f>VLOOKUP($D110,'733講義室'!$B$2:$F$39,4,FALSE)</f>
        <v>0</v>
      </c>
      <c r="K110" s="11">
        <f>VLOOKUP($D110,'733講義室'!$B$2:$F$39,5,FALSE)</f>
        <v>0</v>
      </c>
      <c r="L110" s="11">
        <f>VLOOKUP($A110,'733講義室'!$G$2:$I$39,3,FALSE)</f>
        <v>0</v>
      </c>
      <c r="M110" s="12">
        <f>VLOOKUP($D110,'733講義室'!$B$2:$J$39,9,FALSE)</f>
        <v>0</v>
      </c>
      <c r="N110" s="14">
        <f t="shared" si="22"/>
        <v>0</v>
      </c>
      <c r="O110" s="13" cm="1">
        <f t="array" ref="O110">_xlfn.LET(
  _xlpm.t, TIME(0, INT($H110/100), MOD($H110,100)),
  _xlfn.IFS(
    AND(_xlpm.t&gt;=TIME(0,7,1),  _xlpm.t&lt;=TIME(0,8,19)), 1,
    AND(_xlpm.t&gt;=TIME(0,6,1),  _xlpm.t&lt;=TIME(0,7,0)),  0.8,
    AND(_xlpm.t&gt;=TIME(0,8,20), _xlpm.t&lt;=TIME(0,8,59)), 0.8,
    AND(_xlpm.t&gt;=TIME(0,5,1),  _xlpm.t&lt;=TIME(0,6,0)),  0.5,
    AND(_xlpm.t&gt;=TIME(0,9,0),  _xlpm.t&lt;=TIME(0,9,59)), 0.5,
    TRUE, 0.3
  )
)</f>
        <v>0.3</v>
      </c>
      <c r="P110" s="11">
        <f t="shared" si="23"/>
        <v>0</v>
      </c>
      <c r="Q110" s="11">
        <f t="shared" si="24"/>
        <v>0</v>
      </c>
      <c r="R110" s="11">
        <f t="shared" si="25"/>
        <v>0</v>
      </c>
      <c r="S110" s="11">
        <f t="shared" si="26"/>
        <v>0</v>
      </c>
      <c r="T110" s="11">
        <f t="shared" si="27"/>
        <v>0</v>
      </c>
    </row>
    <row r="111" spans="1:20" hidden="1">
      <c r="A111" s="11">
        <v>2331004</v>
      </c>
      <c r="B111" s="11" t="s">
        <v>8</v>
      </c>
      <c r="C111" s="11" t="s">
        <v>1</v>
      </c>
      <c r="D111" s="11">
        <v>43</v>
      </c>
      <c r="E111" s="11">
        <v>43</v>
      </c>
      <c r="F111" s="12" t="s">
        <v>2</v>
      </c>
      <c r="G111" s="11" t="e">
        <f t="shared" si="21"/>
        <v>#N/A</v>
      </c>
      <c r="H111" s="13">
        <f>VLOOKUP($D111,'733講義室'!$B$2:$F$39,2,FALSE)</f>
        <v>0</v>
      </c>
      <c r="I111" s="11">
        <f>VLOOKUP($D111,'733講義室'!$B$2:$F$39,3,FALSE)</f>
        <v>0</v>
      </c>
      <c r="J111" s="11">
        <f>VLOOKUP($D111,'733講義室'!$B$2:$F$39,4,FALSE)</f>
        <v>0</v>
      </c>
      <c r="K111" s="11">
        <f>VLOOKUP($D111,'733講義室'!$B$2:$F$39,5,FALSE)</f>
        <v>0</v>
      </c>
      <c r="L111" s="11" t="e">
        <f>VLOOKUP($A111,'733講義室'!$G$2:$I$39,3,FALSE)</f>
        <v>#N/A</v>
      </c>
      <c r="M111" s="12">
        <f>VLOOKUP($D111,'733講義室'!$B$2:$J$39,9,FALSE)</f>
        <v>0</v>
      </c>
      <c r="N111" s="14">
        <f t="shared" si="22"/>
        <v>0</v>
      </c>
      <c r="O111" s="13" cm="1">
        <f t="array" ref="O111">_xlfn.LET(
  _xlpm.t, TIME(0, INT($H111/100), MOD($H111,100)),
  _xlfn.IFS(
    AND(_xlpm.t&gt;=TIME(0,7,1),  _xlpm.t&lt;=TIME(0,8,19)), 1,
    AND(_xlpm.t&gt;=TIME(0,6,1),  _xlpm.t&lt;=TIME(0,7,0)),  0.8,
    AND(_xlpm.t&gt;=TIME(0,8,20), _xlpm.t&lt;=TIME(0,8,59)), 0.8,
    AND(_xlpm.t&gt;=TIME(0,5,1),  _xlpm.t&lt;=TIME(0,6,0)),  0.5,
    AND(_xlpm.t&gt;=TIME(0,9,0),  _xlpm.t&lt;=TIME(0,9,59)), 0.5,
    TRUE, 0.3
  )
)</f>
        <v>0.3</v>
      </c>
      <c r="P111" s="11">
        <f t="shared" si="23"/>
        <v>0</v>
      </c>
      <c r="Q111" s="11">
        <f t="shared" si="24"/>
        <v>0</v>
      </c>
      <c r="R111" s="11">
        <f t="shared" si="25"/>
        <v>0</v>
      </c>
      <c r="S111" s="11" t="e">
        <f t="shared" si="26"/>
        <v>#N/A</v>
      </c>
      <c r="T111" s="11">
        <f t="shared" si="27"/>
        <v>0</v>
      </c>
    </row>
    <row r="112" spans="1:20" hidden="1">
      <c r="A112" s="11" t="s">
        <v>14</v>
      </c>
      <c r="B112" s="11" t="s">
        <v>15</v>
      </c>
      <c r="C112" s="11" t="s">
        <v>1</v>
      </c>
      <c r="D112" s="11">
        <v>43</v>
      </c>
      <c r="E112" s="11">
        <v>43</v>
      </c>
      <c r="F112" s="12" t="s">
        <v>2</v>
      </c>
      <c r="G112" s="11">
        <f t="shared" si="21"/>
        <v>0</v>
      </c>
      <c r="H112" s="13">
        <f>VLOOKUP($D112,'733講義室'!$B$2:$F$39,2,FALSE)</f>
        <v>0</v>
      </c>
      <c r="I112" s="11">
        <f>VLOOKUP($D112,'733講義室'!$B$2:$F$39,3,FALSE)</f>
        <v>0</v>
      </c>
      <c r="J112" s="11">
        <f>VLOOKUP($D112,'733講義室'!$B$2:$F$39,4,FALSE)</f>
        <v>0</v>
      </c>
      <c r="K112" s="11">
        <f>VLOOKUP($D112,'733講義室'!$B$2:$F$39,5,FALSE)</f>
        <v>0</v>
      </c>
      <c r="L112" s="11">
        <f>VLOOKUP($A112,'733講義室'!$G$2:$I$39,3,FALSE)</f>
        <v>0</v>
      </c>
      <c r="M112" s="12">
        <f>VLOOKUP($D112,'733講義室'!$B$2:$J$39,9,FALSE)</f>
        <v>0</v>
      </c>
      <c r="N112" s="14">
        <f t="shared" si="22"/>
        <v>0</v>
      </c>
      <c r="O112" s="13" cm="1">
        <f t="array" ref="O112">_xlfn.LET(
  _xlpm.t, TIME(0, INT($H112/100), MOD($H112,100)),
  _xlfn.IFS(
    AND(_xlpm.t&gt;=TIME(0,7,1),  _xlpm.t&lt;=TIME(0,8,19)), 1,
    AND(_xlpm.t&gt;=TIME(0,6,1),  _xlpm.t&lt;=TIME(0,7,0)),  0.8,
    AND(_xlpm.t&gt;=TIME(0,8,20), _xlpm.t&lt;=TIME(0,8,59)), 0.8,
    AND(_xlpm.t&gt;=TIME(0,5,1),  _xlpm.t&lt;=TIME(0,6,0)),  0.5,
    AND(_xlpm.t&gt;=TIME(0,9,0),  _xlpm.t&lt;=TIME(0,9,59)), 0.5,
    TRUE, 0.3
  )
)</f>
        <v>0.3</v>
      </c>
      <c r="P112" s="11">
        <f t="shared" si="23"/>
        <v>0</v>
      </c>
      <c r="Q112" s="11">
        <f t="shared" si="24"/>
        <v>0</v>
      </c>
      <c r="R112" s="11">
        <f t="shared" si="25"/>
        <v>0</v>
      </c>
      <c r="S112" s="11">
        <f t="shared" si="26"/>
        <v>0</v>
      </c>
      <c r="T112" s="11">
        <f t="shared" si="27"/>
        <v>0</v>
      </c>
    </row>
    <row r="113" spans="1:20" hidden="1">
      <c r="A113" s="11" t="s">
        <v>18</v>
      </c>
      <c r="B113" s="11" t="s">
        <v>19</v>
      </c>
      <c r="C113" s="11" t="s">
        <v>1</v>
      </c>
      <c r="D113" s="11">
        <v>43</v>
      </c>
      <c r="E113" s="11">
        <v>43</v>
      </c>
      <c r="F113" s="12" t="s">
        <v>2</v>
      </c>
      <c r="G113" s="11">
        <f t="shared" si="21"/>
        <v>0</v>
      </c>
      <c r="H113" s="13">
        <f>VLOOKUP($D113,'733講義室'!$B$2:$F$39,2,FALSE)</f>
        <v>0</v>
      </c>
      <c r="I113" s="11">
        <f>VLOOKUP($D113,'733講義室'!$B$2:$F$39,3,FALSE)</f>
        <v>0</v>
      </c>
      <c r="J113" s="11">
        <f>VLOOKUP($D113,'733講義室'!$B$2:$F$39,4,FALSE)</f>
        <v>0</v>
      </c>
      <c r="K113" s="11">
        <f>VLOOKUP($D113,'733講義室'!$B$2:$F$39,5,FALSE)</f>
        <v>0</v>
      </c>
      <c r="L113" s="11">
        <f>VLOOKUP($A113,'733講義室'!$G$2:$I$39,3,FALSE)</f>
        <v>0</v>
      </c>
      <c r="M113" s="12">
        <f>VLOOKUP($D113,'733講義室'!$B$2:$J$39,9,FALSE)</f>
        <v>0</v>
      </c>
      <c r="N113" s="14">
        <f t="shared" si="22"/>
        <v>0</v>
      </c>
      <c r="O113" s="13" cm="1">
        <f t="array" ref="O113">_xlfn.LET(
  _xlpm.t, TIME(0, INT($H113/100), MOD($H113,100)),
  _xlfn.IFS(
    AND(_xlpm.t&gt;=TIME(0,7,1),  _xlpm.t&lt;=TIME(0,8,19)), 1,
    AND(_xlpm.t&gt;=TIME(0,6,1),  _xlpm.t&lt;=TIME(0,7,0)),  0.8,
    AND(_xlpm.t&gt;=TIME(0,8,20), _xlpm.t&lt;=TIME(0,8,59)), 0.8,
    AND(_xlpm.t&gt;=TIME(0,5,1),  _xlpm.t&lt;=TIME(0,6,0)),  0.5,
    AND(_xlpm.t&gt;=TIME(0,9,0),  _xlpm.t&lt;=TIME(0,9,59)), 0.5,
    TRUE, 0.3
  )
)</f>
        <v>0.3</v>
      </c>
      <c r="P113" s="11">
        <f t="shared" si="23"/>
        <v>0</v>
      </c>
      <c r="Q113" s="11">
        <f t="shared" si="24"/>
        <v>0</v>
      </c>
      <c r="R113" s="11">
        <f t="shared" si="25"/>
        <v>0</v>
      </c>
      <c r="S113" s="11">
        <f t="shared" si="26"/>
        <v>0</v>
      </c>
      <c r="T113" s="11">
        <f t="shared" si="27"/>
        <v>0</v>
      </c>
    </row>
    <row r="114" spans="1:20">
      <c r="A114" s="11" t="s">
        <v>108</v>
      </c>
      <c r="B114" s="11" t="s">
        <v>109</v>
      </c>
      <c r="C114" s="11" t="s">
        <v>22</v>
      </c>
      <c r="D114" s="11">
        <v>2</v>
      </c>
      <c r="E114" s="11">
        <v>33</v>
      </c>
      <c r="F114" s="12" t="s">
        <v>2</v>
      </c>
      <c r="G114" s="11">
        <f t="shared" si="21"/>
        <v>0</v>
      </c>
      <c r="H114" s="13">
        <f>VLOOKUP($D114,'733講義室'!$B$2:$F$39,2,FALSE)</f>
        <v>0</v>
      </c>
      <c r="I114" s="11">
        <f>VLOOKUP($D114,'733講義室'!$B$2:$F$39,3,FALSE)</f>
        <v>0</v>
      </c>
      <c r="J114" s="11">
        <f>VLOOKUP($D114,'733講義室'!$B$2:$F$39,4,FALSE)</f>
        <v>0</v>
      </c>
      <c r="K114" s="11">
        <f>VLOOKUP($D114,'733講義室'!$B$2:$F$39,5,FALSE)</f>
        <v>0</v>
      </c>
      <c r="L114" s="11">
        <f>VLOOKUP($A114,'733講義室'!$G$2:$I$39,3,FALSE)</f>
        <v>0</v>
      </c>
      <c r="M114" s="12">
        <f>VLOOKUP($D114,'733講義室'!$B$2:$J$39,9,FALSE)</f>
        <v>0</v>
      </c>
      <c r="N114" s="14">
        <f t="shared" si="22"/>
        <v>0</v>
      </c>
      <c r="O114" s="13" cm="1">
        <f t="array" ref="O114">_xlfn.LET(
  _xlpm.t, TIME(0, INT($H114/100), MOD($H114,100)),
  _xlfn.IFS(
    AND(_xlpm.t&gt;=TIME(0,7,1),  _xlpm.t&lt;=TIME(0,8,19)), 1,
    AND(_xlpm.t&gt;=TIME(0,6,1),  _xlpm.t&lt;=TIME(0,7,0)),  0.8,
    AND(_xlpm.t&gt;=TIME(0,8,20), _xlpm.t&lt;=TIME(0,8,59)), 0.8,
    AND(_xlpm.t&gt;=TIME(0,5,1),  _xlpm.t&lt;=TIME(0,6,0)),  0.5,
    AND(_xlpm.t&gt;=TIME(0,9,0),  _xlpm.t&lt;=TIME(0,9,59)), 0.5,
    TRUE, 0.3
  )
)</f>
        <v>0.3</v>
      </c>
      <c r="P114" s="11">
        <f t="shared" si="23"/>
        <v>0</v>
      </c>
      <c r="Q114" s="11">
        <f t="shared" si="24"/>
        <v>0</v>
      </c>
      <c r="R114" s="11">
        <f t="shared" si="25"/>
        <v>0</v>
      </c>
      <c r="S114" s="11">
        <f t="shared" si="26"/>
        <v>0</v>
      </c>
      <c r="T114" s="11">
        <f t="shared" si="27"/>
        <v>0</v>
      </c>
    </row>
    <row r="115" spans="1:20">
      <c r="A115" s="11" t="s">
        <v>116</v>
      </c>
      <c r="B115" s="11" t="s">
        <v>117</v>
      </c>
      <c r="C115" s="11" t="s">
        <v>22</v>
      </c>
      <c r="D115" s="11">
        <v>2</v>
      </c>
      <c r="E115" s="11">
        <v>33</v>
      </c>
      <c r="F115" s="12" t="s">
        <v>2</v>
      </c>
      <c r="G115" s="11">
        <f t="shared" si="21"/>
        <v>0</v>
      </c>
      <c r="H115" s="13">
        <f>VLOOKUP($D115,'733講義室'!$B$2:$F$39,2,FALSE)</f>
        <v>0</v>
      </c>
      <c r="I115" s="11">
        <f>VLOOKUP($D115,'733講義室'!$B$2:$F$39,3,FALSE)</f>
        <v>0</v>
      </c>
      <c r="J115" s="11">
        <f>VLOOKUP($D115,'733講義室'!$B$2:$F$39,4,FALSE)</f>
        <v>0</v>
      </c>
      <c r="K115" s="11">
        <f>VLOOKUP($D115,'733講義室'!$B$2:$F$39,5,FALSE)</f>
        <v>0</v>
      </c>
      <c r="L115" s="11">
        <f>VLOOKUP($A115,'733講義室'!$G$2:$I$39,3,FALSE)</f>
        <v>0</v>
      </c>
      <c r="M115" s="12">
        <f>VLOOKUP($D115,'733講義室'!$B$2:$J$39,9,FALSE)</f>
        <v>0</v>
      </c>
      <c r="N115" s="14">
        <f t="shared" si="22"/>
        <v>0</v>
      </c>
      <c r="O115" s="13" cm="1">
        <f t="array" ref="O115">_xlfn.LET(
  _xlpm.t, TIME(0, INT($H115/100), MOD($H115,100)),
  _xlfn.IFS(
    AND(_xlpm.t&gt;=TIME(0,7,1),  _xlpm.t&lt;=TIME(0,8,19)), 1,
    AND(_xlpm.t&gt;=TIME(0,6,1),  _xlpm.t&lt;=TIME(0,7,0)),  0.8,
    AND(_xlpm.t&gt;=TIME(0,8,20), _xlpm.t&lt;=TIME(0,8,59)), 0.8,
    AND(_xlpm.t&gt;=TIME(0,5,1),  _xlpm.t&lt;=TIME(0,6,0)),  0.5,
    AND(_xlpm.t&gt;=TIME(0,9,0),  _xlpm.t&lt;=TIME(0,9,59)), 0.5,
    TRUE, 0.3
  )
)</f>
        <v>0.3</v>
      </c>
      <c r="P115" s="11">
        <f t="shared" si="23"/>
        <v>0</v>
      </c>
      <c r="Q115" s="11">
        <f t="shared" si="24"/>
        <v>0</v>
      </c>
      <c r="R115" s="11">
        <f t="shared" si="25"/>
        <v>0</v>
      </c>
      <c r="S115" s="11">
        <f t="shared" si="26"/>
        <v>0</v>
      </c>
      <c r="T115" s="11">
        <f t="shared" si="27"/>
        <v>0</v>
      </c>
    </row>
    <row r="116" spans="1:20">
      <c r="A116" s="11" t="s">
        <v>254</v>
      </c>
      <c r="B116" s="11" t="s">
        <v>255</v>
      </c>
      <c r="C116" s="11" t="s">
        <v>22</v>
      </c>
      <c r="D116" s="11">
        <v>2</v>
      </c>
      <c r="E116" s="11">
        <v>33</v>
      </c>
      <c r="F116" s="12" t="s">
        <v>2</v>
      </c>
      <c r="G116" s="11">
        <f t="shared" si="21"/>
        <v>0</v>
      </c>
      <c r="H116" s="13">
        <f>VLOOKUP($D116,'733講義室'!$B$2:$F$39,2,FALSE)</f>
        <v>0</v>
      </c>
      <c r="I116" s="11">
        <f>VLOOKUP($D116,'733講義室'!$B$2:$F$39,3,FALSE)</f>
        <v>0</v>
      </c>
      <c r="J116" s="11">
        <f>VLOOKUP($D116,'733講義室'!$B$2:$F$39,4,FALSE)</f>
        <v>0</v>
      </c>
      <c r="K116" s="11">
        <f>VLOOKUP($D116,'733講義室'!$B$2:$F$39,5,FALSE)</f>
        <v>0</v>
      </c>
      <c r="L116" s="11">
        <f>VLOOKUP($A116,'733講義室'!$G$2:$I$39,3,FALSE)</f>
        <v>0</v>
      </c>
      <c r="M116" s="12">
        <f>VLOOKUP($D116,'733講義室'!$B$2:$J$39,9,FALSE)</f>
        <v>0</v>
      </c>
      <c r="N116" s="14">
        <f t="shared" si="22"/>
        <v>0</v>
      </c>
      <c r="O116" s="13" cm="1">
        <f t="array" ref="O116">_xlfn.LET(
  _xlpm.t, TIME(0, INT($H116/100), MOD($H116,100)),
  _xlfn.IFS(
    AND(_xlpm.t&gt;=TIME(0,7,1),  _xlpm.t&lt;=TIME(0,8,19)), 1,
    AND(_xlpm.t&gt;=TIME(0,6,1),  _xlpm.t&lt;=TIME(0,7,0)),  0.8,
    AND(_xlpm.t&gt;=TIME(0,8,20), _xlpm.t&lt;=TIME(0,8,59)), 0.8,
    AND(_xlpm.t&gt;=TIME(0,5,1),  _xlpm.t&lt;=TIME(0,6,0)),  0.5,
    AND(_xlpm.t&gt;=TIME(0,9,0),  _xlpm.t&lt;=TIME(0,9,59)), 0.5,
    TRUE, 0.3
  )
)</f>
        <v>0.3</v>
      </c>
      <c r="P116" s="11">
        <f t="shared" si="23"/>
        <v>0</v>
      </c>
      <c r="Q116" s="11">
        <f t="shared" si="24"/>
        <v>0</v>
      </c>
      <c r="R116" s="11">
        <f t="shared" si="25"/>
        <v>0</v>
      </c>
      <c r="S116" s="11">
        <f t="shared" si="26"/>
        <v>0</v>
      </c>
      <c r="T116" s="11">
        <f t="shared" si="27"/>
        <v>0</v>
      </c>
    </row>
    <row r="117" spans="1:20">
      <c r="A117" s="11" t="s">
        <v>74</v>
      </c>
      <c r="B117" s="11" t="s">
        <v>75</v>
      </c>
      <c r="C117" s="11" t="s">
        <v>22</v>
      </c>
      <c r="D117" s="11">
        <v>38</v>
      </c>
      <c r="E117" s="11">
        <v>32</v>
      </c>
      <c r="F117" s="12" t="s">
        <v>2</v>
      </c>
      <c r="G117" s="11">
        <f t="shared" si="21"/>
        <v>0</v>
      </c>
      <c r="H117" s="13">
        <f>VLOOKUP($D117,'733講義室'!$B$2:$F$39,2,FALSE)</f>
        <v>0</v>
      </c>
      <c r="I117" s="11">
        <f>VLOOKUP($D117,'733講義室'!$B$2:$F$39,3,FALSE)</f>
        <v>0</v>
      </c>
      <c r="J117" s="11">
        <f>VLOOKUP($D117,'733講義室'!$B$2:$F$39,4,FALSE)</f>
        <v>0</v>
      </c>
      <c r="K117" s="11">
        <f>VLOOKUP($D117,'733講義室'!$B$2:$F$39,5,FALSE)</f>
        <v>0</v>
      </c>
      <c r="L117" s="11">
        <f>VLOOKUP($A117,'733講義室'!$G$2:$I$39,3,FALSE)</f>
        <v>0</v>
      </c>
      <c r="M117" s="12">
        <f>VLOOKUP($D117,'733講義室'!$B$2:$J$39,9,FALSE)</f>
        <v>0</v>
      </c>
      <c r="N117" s="14">
        <f t="shared" si="22"/>
        <v>0</v>
      </c>
      <c r="O117" s="13" cm="1">
        <f t="array" ref="O117">_xlfn.LET(
  _xlpm.t, TIME(0, INT($H117/100), MOD($H117,100)),
  _xlfn.IFS(
    AND(_xlpm.t&gt;=TIME(0,7,1),  _xlpm.t&lt;=TIME(0,8,19)), 1,
    AND(_xlpm.t&gt;=TIME(0,6,1),  _xlpm.t&lt;=TIME(0,7,0)),  0.8,
    AND(_xlpm.t&gt;=TIME(0,8,20), _xlpm.t&lt;=TIME(0,8,59)), 0.8,
    AND(_xlpm.t&gt;=TIME(0,5,1),  _xlpm.t&lt;=TIME(0,6,0)),  0.5,
    AND(_xlpm.t&gt;=TIME(0,9,0),  _xlpm.t&lt;=TIME(0,9,59)), 0.5,
    TRUE, 0.3
  )
)</f>
        <v>0.3</v>
      </c>
      <c r="P117" s="11">
        <f t="shared" si="23"/>
        <v>0</v>
      </c>
      <c r="Q117" s="11">
        <f t="shared" si="24"/>
        <v>0</v>
      </c>
      <c r="R117" s="11">
        <f t="shared" si="25"/>
        <v>0</v>
      </c>
      <c r="S117" s="11">
        <f t="shared" si="26"/>
        <v>0</v>
      </c>
      <c r="T117" s="11">
        <f t="shared" si="27"/>
        <v>0</v>
      </c>
    </row>
    <row r="118" spans="1:20">
      <c r="A118" s="11" t="s">
        <v>110</v>
      </c>
      <c r="B118" s="11" t="s">
        <v>111</v>
      </c>
      <c r="C118" s="11" t="s">
        <v>22</v>
      </c>
      <c r="D118" s="11">
        <v>38</v>
      </c>
      <c r="E118" s="11">
        <v>32</v>
      </c>
      <c r="F118" s="12" t="s">
        <v>2</v>
      </c>
      <c r="G118" s="11">
        <f t="shared" si="21"/>
        <v>0</v>
      </c>
      <c r="H118" s="13">
        <f>VLOOKUP($D118,'733講義室'!$B$2:$F$39,2,FALSE)</f>
        <v>0</v>
      </c>
      <c r="I118" s="11">
        <f>VLOOKUP($D118,'733講義室'!$B$2:$F$39,3,FALSE)</f>
        <v>0</v>
      </c>
      <c r="J118" s="11">
        <f>VLOOKUP($D118,'733講義室'!$B$2:$F$39,4,FALSE)</f>
        <v>0</v>
      </c>
      <c r="K118" s="11">
        <f>VLOOKUP($D118,'733講義室'!$B$2:$F$39,5,FALSE)</f>
        <v>0</v>
      </c>
      <c r="L118" s="11">
        <f>VLOOKUP($A118,'733講義室'!$G$2:$I$39,3,FALSE)</f>
        <v>0</v>
      </c>
      <c r="M118" s="12">
        <f>VLOOKUP($D118,'733講義室'!$B$2:$J$39,9,FALSE)</f>
        <v>0</v>
      </c>
      <c r="N118" s="14">
        <f t="shared" si="22"/>
        <v>0</v>
      </c>
      <c r="O118" s="13" cm="1">
        <f t="array" ref="O118">_xlfn.LET(
  _xlpm.t, TIME(0, INT($H118/100), MOD($H118,100)),
  _xlfn.IFS(
    AND(_xlpm.t&gt;=TIME(0,7,1),  _xlpm.t&lt;=TIME(0,8,19)), 1,
    AND(_xlpm.t&gt;=TIME(0,6,1),  _xlpm.t&lt;=TIME(0,7,0)),  0.8,
    AND(_xlpm.t&gt;=TIME(0,8,20), _xlpm.t&lt;=TIME(0,8,59)), 0.8,
    AND(_xlpm.t&gt;=TIME(0,5,1),  _xlpm.t&lt;=TIME(0,6,0)),  0.5,
    AND(_xlpm.t&gt;=TIME(0,9,0),  _xlpm.t&lt;=TIME(0,9,59)), 0.5,
    TRUE, 0.3
  )
)</f>
        <v>0.3</v>
      </c>
      <c r="P118" s="11">
        <f t="shared" si="23"/>
        <v>0</v>
      </c>
      <c r="Q118" s="11">
        <f t="shared" si="24"/>
        <v>0</v>
      </c>
      <c r="R118" s="11">
        <f t="shared" si="25"/>
        <v>0</v>
      </c>
      <c r="S118" s="11">
        <f t="shared" si="26"/>
        <v>0</v>
      </c>
      <c r="T118" s="11">
        <f t="shared" si="27"/>
        <v>0</v>
      </c>
    </row>
    <row r="119" spans="1:20">
      <c r="A119" s="11" t="s">
        <v>210</v>
      </c>
      <c r="B119" s="11" t="s">
        <v>211</v>
      </c>
      <c r="C119" s="11" t="s">
        <v>22</v>
      </c>
      <c r="D119" s="11">
        <v>38</v>
      </c>
      <c r="E119" s="11">
        <v>32</v>
      </c>
      <c r="F119" s="12" t="s">
        <v>2</v>
      </c>
      <c r="G119" s="11">
        <f t="shared" si="21"/>
        <v>0</v>
      </c>
      <c r="H119" s="13">
        <f>VLOOKUP($D119,'733講義室'!$B$2:$F$39,2,FALSE)</f>
        <v>0</v>
      </c>
      <c r="I119" s="11">
        <f>VLOOKUP($D119,'733講義室'!$B$2:$F$39,3,FALSE)</f>
        <v>0</v>
      </c>
      <c r="J119" s="11">
        <f>VLOOKUP($D119,'733講義室'!$B$2:$F$39,4,FALSE)</f>
        <v>0</v>
      </c>
      <c r="K119" s="11">
        <f>VLOOKUP($D119,'733講義室'!$B$2:$F$39,5,FALSE)</f>
        <v>0</v>
      </c>
      <c r="L119" s="11">
        <f>VLOOKUP($A119,'733講義室'!$G$2:$I$39,3,FALSE)</f>
        <v>0</v>
      </c>
      <c r="M119" s="12">
        <f>VLOOKUP($D119,'733講義室'!$B$2:$J$39,9,FALSE)</f>
        <v>0</v>
      </c>
      <c r="N119" s="14">
        <f t="shared" si="22"/>
        <v>0</v>
      </c>
      <c r="O119" s="13" cm="1">
        <f t="array" ref="O119">_xlfn.LET(
  _xlpm.t, TIME(0, INT($H119/100), MOD($H119,100)),
  _xlfn.IFS(
    AND(_xlpm.t&gt;=TIME(0,7,1),  _xlpm.t&lt;=TIME(0,8,19)), 1,
    AND(_xlpm.t&gt;=TIME(0,6,1),  _xlpm.t&lt;=TIME(0,7,0)),  0.8,
    AND(_xlpm.t&gt;=TIME(0,8,20), _xlpm.t&lt;=TIME(0,8,59)), 0.8,
    AND(_xlpm.t&gt;=TIME(0,5,1),  _xlpm.t&lt;=TIME(0,6,0)),  0.5,
    AND(_xlpm.t&gt;=TIME(0,9,0),  _xlpm.t&lt;=TIME(0,9,59)), 0.5,
    TRUE, 0.3
  )
)</f>
        <v>0.3</v>
      </c>
      <c r="P119" s="11">
        <f t="shared" si="23"/>
        <v>0</v>
      </c>
      <c r="Q119" s="11">
        <f t="shared" si="24"/>
        <v>0</v>
      </c>
      <c r="R119" s="11">
        <f t="shared" si="25"/>
        <v>0</v>
      </c>
      <c r="S119" s="11">
        <f t="shared" si="26"/>
        <v>0</v>
      </c>
      <c r="T119" s="11">
        <f t="shared" si="27"/>
        <v>0</v>
      </c>
    </row>
    <row r="120" spans="1:20">
      <c r="A120" s="11" t="s">
        <v>114</v>
      </c>
      <c r="B120" s="11" t="s">
        <v>115</v>
      </c>
      <c r="C120" s="11" t="s">
        <v>22</v>
      </c>
      <c r="D120" s="11">
        <v>9</v>
      </c>
      <c r="E120" s="11">
        <v>25</v>
      </c>
      <c r="F120" s="12" t="s">
        <v>2</v>
      </c>
      <c r="G120" s="11">
        <f t="shared" si="21"/>
        <v>0</v>
      </c>
      <c r="H120" s="13">
        <f>VLOOKUP($D120,'733講義室'!$B$2:$F$39,2,FALSE)</f>
        <v>0</v>
      </c>
      <c r="I120" s="11">
        <f>VLOOKUP($D120,'733講義室'!$B$2:$F$39,3,FALSE)</f>
        <v>0</v>
      </c>
      <c r="J120" s="11">
        <f>VLOOKUP($D120,'733講義室'!$B$2:$F$39,4,FALSE)</f>
        <v>0</v>
      </c>
      <c r="K120" s="11">
        <f>VLOOKUP($D120,'733講義室'!$B$2:$F$39,5,FALSE)</f>
        <v>0</v>
      </c>
      <c r="L120" s="11">
        <f>VLOOKUP($A120,'733講義室'!$G$2:$I$39,3,FALSE)</f>
        <v>0</v>
      </c>
      <c r="M120" s="12">
        <f>VLOOKUP($D120,'733講義室'!$B$2:$J$39,9,FALSE)</f>
        <v>0</v>
      </c>
      <c r="N120" s="14">
        <f t="shared" si="22"/>
        <v>0</v>
      </c>
      <c r="O120" s="13" cm="1">
        <f t="array" ref="O120">_xlfn.LET(
  _xlpm.t, TIME(0, INT($H120/100), MOD($H120,100)),
  _xlfn.IFS(
    AND(_xlpm.t&gt;=TIME(0,7,1),  _xlpm.t&lt;=TIME(0,8,19)), 1,
    AND(_xlpm.t&gt;=TIME(0,6,1),  _xlpm.t&lt;=TIME(0,7,0)),  0.8,
    AND(_xlpm.t&gt;=TIME(0,8,20), _xlpm.t&lt;=TIME(0,8,59)), 0.8,
    AND(_xlpm.t&gt;=TIME(0,5,1),  _xlpm.t&lt;=TIME(0,6,0)),  0.5,
    AND(_xlpm.t&gt;=TIME(0,9,0),  _xlpm.t&lt;=TIME(0,9,59)), 0.5,
    TRUE, 0.3
  )
)</f>
        <v>0.3</v>
      </c>
      <c r="P120" s="11">
        <f t="shared" si="23"/>
        <v>0</v>
      </c>
      <c r="Q120" s="11">
        <f t="shared" si="24"/>
        <v>0</v>
      </c>
      <c r="R120" s="11">
        <f t="shared" si="25"/>
        <v>0</v>
      </c>
      <c r="S120" s="11">
        <f t="shared" si="26"/>
        <v>0</v>
      </c>
      <c r="T120" s="11">
        <f t="shared" si="27"/>
        <v>0</v>
      </c>
    </row>
    <row r="121" spans="1:20">
      <c r="A121" s="11" t="s">
        <v>192</v>
      </c>
      <c r="B121" s="11" t="s">
        <v>193</v>
      </c>
      <c r="C121" s="11" t="s">
        <v>22</v>
      </c>
      <c r="D121" s="11">
        <v>9</v>
      </c>
      <c r="E121" s="11">
        <v>25</v>
      </c>
      <c r="F121" s="12" t="s">
        <v>2</v>
      </c>
      <c r="G121" s="11">
        <f t="shared" si="21"/>
        <v>0</v>
      </c>
      <c r="H121" s="13">
        <f>VLOOKUP($D121,'733講義室'!$B$2:$F$39,2,FALSE)</f>
        <v>0</v>
      </c>
      <c r="I121" s="11">
        <f>VLOOKUP($D121,'733講義室'!$B$2:$F$39,3,FALSE)</f>
        <v>0</v>
      </c>
      <c r="J121" s="11">
        <f>VLOOKUP($D121,'733講義室'!$B$2:$F$39,4,FALSE)</f>
        <v>0</v>
      </c>
      <c r="K121" s="11">
        <f>VLOOKUP($D121,'733講義室'!$B$2:$F$39,5,FALSE)</f>
        <v>0</v>
      </c>
      <c r="L121" s="11">
        <f>VLOOKUP($A121,'733講義室'!$G$2:$I$39,3,FALSE)</f>
        <v>0</v>
      </c>
      <c r="M121" s="12">
        <f>VLOOKUP($D121,'733講義室'!$B$2:$J$39,9,FALSE)</f>
        <v>0</v>
      </c>
      <c r="N121" s="14">
        <f t="shared" si="22"/>
        <v>0</v>
      </c>
      <c r="O121" s="13" cm="1">
        <f t="array" ref="O121">_xlfn.LET(
  _xlpm.t, TIME(0, INT($H121/100), MOD($H121,100)),
  _xlfn.IFS(
    AND(_xlpm.t&gt;=TIME(0,7,1),  _xlpm.t&lt;=TIME(0,8,19)), 1,
    AND(_xlpm.t&gt;=TIME(0,6,1),  _xlpm.t&lt;=TIME(0,7,0)),  0.8,
    AND(_xlpm.t&gt;=TIME(0,8,20), _xlpm.t&lt;=TIME(0,8,59)), 0.8,
    AND(_xlpm.t&gt;=TIME(0,5,1),  _xlpm.t&lt;=TIME(0,6,0)),  0.5,
    AND(_xlpm.t&gt;=TIME(0,9,0),  _xlpm.t&lt;=TIME(0,9,59)), 0.5,
    TRUE, 0.3
  )
)</f>
        <v>0.3</v>
      </c>
      <c r="P121" s="11">
        <f t="shared" si="23"/>
        <v>0</v>
      </c>
      <c r="Q121" s="11">
        <f t="shared" si="24"/>
        <v>0</v>
      </c>
      <c r="R121" s="11">
        <f t="shared" si="25"/>
        <v>0</v>
      </c>
      <c r="S121" s="11">
        <f t="shared" si="26"/>
        <v>0</v>
      </c>
      <c r="T121" s="11">
        <f t="shared" si="27"/>
        <v>0</v>
      </c>
    </row>
    <row r="122" spans="1:20">
      <c r="A122" s="11" t="s">
        <v>270</v>
      </c>
      <c r="B122" s="11" t="s">
        <v>271</v>
      </c>
      <c r="C122" s="11" t="s">
        <v>22</v>
      </c>
      <c r="D122" s="11">
        <v>9</v>
      </c>
      <c r="E122" s="11">
        <v>25</v>
      </c>
      <c r="F122" s="12" t="s">
        <v>2</v>
      </c>
      <c r="G122" s="11">
        <f t="shared" si="21"/>
        <v>0</v>
      </c>
      <c r="H122" s="13">
        <f>VLOOKUP($D122,'733講義室'!$B$2:$F$39,2,FALSE)</f>
        <v>0</v>
      </c>
      <c r="I122" s="11">
        <f>VLOOKUP($D122,'733講義室'!$B$2:$F$39,3,FALSE)</f>
        <v>0</v>
      </c>
      <c r="J122" s="11">
        <f>VLOOKUP($D122,'733講義室'!$B$2:$F$39,4,FALSE)</f>
        <v>0</v>
      </c>
      <c r="K122" s="11">
        <f>VLOOKUP($D122,'733講義室'!$B$2:$F$39,5,FALSE)</f>
        <v>0</v>
      </c>
      <c r="L122" s="11">
        <f>VLOOKUP($A122,'733講義室'!$G$2:$I$39,3,FALSE)</f>
        <v>0</v>
      </c>
      <c r="M122" s="12">
        <f>VLOOKUP($D122,'733講義室'!$B$2:$J$39,9,FALSE)</f>
        <v>0</v>
      </c>
      <c r="N122" s="14">
        <f t="shared" si="22"/>
        <v>0</v>
      </c>
      <c r="O122" s="13" cm="1">
        <f t="array" ref="O122">_xlfn.LET(
  _xlpm.t, TIME(0, INT($H122/100), MOD($H122,100)),
  _xlfn.IFS(
    AND(_xlpm.t&gt;=TIME(0,7,1),  _xlpm.t&lt;=TIME(0,8,19)), 1,
    AND(_xlpm.t&gt;=TIME(0,6,1),  _xlpm.t&lt;=TIME(0,7,0)),  0.8,
    AND(_xlpm.t&gt;=TIME(0,8,20), _xlpm.t&lt;=TIME(0,8,59)), 0.8,
    AND(_xlpm.t&gt;=TIME(0,5,1),  _xlpm.t&lt;=TIME(0,6,0)),  0.5,
    AND(_xlpm.t&gt;=TIME(0,9,0),  _xlpm.t&lt;=TIME(0,9,59)), 0.5,
    TRUE, 0.3
  )
)</f>
        <v>0.3</v>
      </c>
      <c r="P122" s="11">
        <f t="shared" si="23"/>
        <v>0</v>
      </c>
      <c r="Q122" s="11">
        <f t="shared" si="24"/>
        <v>0</v>
      </c>
      <c r="R122" s="11">
        <f t="shared" si="25"/>
        <v>0</v>
      </c>
      <c r="S122" s="11">
        <f t="shared" si="26"/>
        <v>0</v>
      </c>
      <c r="T122" s="11">
        <f t="shared" si="27"/>
        <v>0</v>
      </c>
    </row>
    <row r="123" spans="1:20">
      <c r="A123" s="11" t="s">
        <v>132</v>
      </c>
      <c r="B123" s="11" t="s">
        <v>133</v>
      </c>
      <c r="C123" s="11" t="s">
        <v>22</v>
      </c>
      <c r="D123" s="11">
        <v>18</v>
      </c>
      <c r="E123" s="11">
        <v>24</v>
      </c>
      <c r="F123" s="12" t="s">
        <v>2</v>
      </c>
      <c r="G123" s="11">
        <f t="shared" si="21"/>
        <v>0</v>
      </c>
      <c r="H123" s="13">
        <f>VLOOKUP($D123,'733講義室'!$B$2:$F$39,2,FALSE)</f>
        <v>0</v>
      </c>
      <c r="I123" s="11">
        <f>VLOOKUP($D123,'733講義室'!$B$2:$F$39,3,FALSE)</f>
        <v>0</v>
      </c>
      <c r="J123" s="11">
        <f>VLOOKUP($D123,'733講義室'!$B$2:$F$39,4,FALSE)</f>
        <v>0</v>
      </c>
      <c r="K123" s="11">
        <f>VLOOKUP($D123,'733講義室'!$B$2:$F$39,5,FALSE)</f>
        <v>0</v>
      </c>
      <c r="L123" s="11">
        <f>VLOOKUP($A123,'733講義室'!$G$2:$I$39,3,FALSE)</f>
        <v>0</v>
      </c>
      <c r="M123" s="12">
        <f>VLOOKUP($D123,'733講義室'!$B$2:$J$39,9,FALSE)</f>
        <v>0</v>
      </c>
      <c r="N123" s="14">
        <f t="shared" si="22"/>
        <v>0</v>
      </c>
      <c r="O123" s="13" cm="1">
        <f t="array" ref="O123">_xlfn.LET(
  _xlpm.t, TIME(0, INT($H123/100), MOD($H123,100)),
  _xlfn.IFS(
    AND(_xlpm.t&gt;=TIME(0,7,1),  _xlpm.t&lt;=TIME(0,8,19)), 1,
    AND(_xlpm.t&gt;=TIME(0,6,1),  _xlpm.t&lt;=TIME(0,7,0)),  0.8,
    AND(_xlpm.t&gt;=TIME(0,8,20), _xlpm.t&lt;=TIME(0,8,59)), 0.8,
    AND(_xlpm.t&gt;=TIME(0,5,1),  _xlpm.t&lt;=TIME(0,6,0)),  0.5,
    AND(_xlpm.t&gt;=TIME(0,9,0),  _xlpm.t&lt;=TIME(0,9,59)), 0.5,
    TRUE, 0.3
  )
)</f>
        <v>0.3</v>
      </c>
      <c r="P123" s="11">
        <f t="shared" si="23"/>
        <v>0</v>
      </c>
      <c r="Q123" s="11">
        <f t="shared" si="24"/>
        <v>0</v>
      </c>
      <c r="R123" s="11">
        <f t="shared" si="25"/>
        <v>0</v>
      </c>
      <c r="S123" s="11">
        <f t="shared" si="26"/>
        <v>0</v>
      </c>
      <c r="T123" s="11">
        <f t="shared" si="27"/>
        <v>0</v>
      </c>
    </row>
    <row r="124" spans="1:20">
      <c r="A124" s="11" t="s">
        <v>152</v>
      </c>
      <c r="B124" s="11" t="s">
        <v>153</v>
      </c>
      <c r="C124" s="11" t="s">
        <v>22</v>
      </c>
      <c r="D124" s="11">
        <v>18</v>
      </c>
      <c r="E124" s="11">
        <v>24</v>
      </c>
      <c r="F124" s="12" t="s">
        <v>2</v>
      </c>
      <c r="G124" s="11">
        <f t="shared" si="21"/>
        <v>0</v>
      </c>
      <c r="H124" s="13">
        <f>VLOOKUP($D124,'733講義室'!$B$2:$F$39,2,FALSE)</f>
        <v>0</v>
      </c>
      <c r="I124" s="11">
        <f>VLOOKUP($D124,'733講義室'!$B$2:$F$39,3,FALSE)</f>
        <v>0</v>
      </c>
      <c r="J124" s="11">
        <f>VLOOKUP($D124,'733講義室'!$B$2:$F$39,4,FALSE)</f>
        <v>0</v>
      </c>
      <c r="K124" s="11">
        <f>VLOOKUP($D124,'733講義室'!$B$2:$F$39,5,FALSE)</f>
        <v>0</v>
      </c>
      <c r="L124" s="11">
        <f>VLOOKUP($A124,'733講義室'!$G$2:$I$39,3,FALSE)</f>
        <v>0</v>
      </c>
      <c r="M124" s="12">
        <f>VLOOKUP($D124,'733講義室'!$B$2:$J$39,9,FALSE)</f>
        <v>0</v>
      </c>
      <c r="N124" s="14">
        <f t="shared" si="22"/>
        <v>0</v>
      </c>
      <c r="O124" s="13" cm="1">
        <f t="array" ref="O124">_xlfn.LET(
  _xlpm.t, TIME(0, INT($H124/100), MOD($H124,100)),
  _xlfn.IFS(
    AND(_xlpm.t&gt;=TIME(0,7,1),  _xlpm.t&lt;=TIME(0,8,19)), 1,
    AND(_xlpm.t&gt;=TIME(0,6,1),  _xlpm.t&lt;=TIME(0,7,0)),  0.8,
    AND(_xlpm.t&gt;=TIME(0,8,20), _xlpm.t&lt;=TIME(0,8,59)), 0.8,
    AND(_xlpm.t&gt;=TIME(0,5,1),  _xlpm.t&lt;=TIME(0,6,0)),  0.5,
    AND(_xlpm.t&gt;=TIME(0,9,0),  _xlpm.t&lt;=TIME(0,9,59)), 0.5,
    TRUE, 0.3
  )
)</f>
        <v>0.3</v>
      </c>
      <c r="P124" s="11">
        <f t="shared" si="23"/>
        <v>0</v>
      </c>
      <c r="Q124" s="11">
        <f t="shared" si="24"/>
        <v>0</v>
      </c>
      <c r="R124" s="11">
        <f t="shared" si="25"/>
        <v>0</v>
      </c>
      <c r="S124" s="11">
        <f t="shared" si="26"/>
        <v>0</v>
      </c>
      <c r="T124" s="11">
        <f t="shared" si="27"/>
        <v>0</v>
      </c>
    </row>
    <row r="125" spans="1:20">
      <c r="A125" s="11" t="s">
        <v>258</v>
      </c>
      <c r="B125" s="11" t="s">
        <v>259</v>
      </c>
      <c r="C125" s="11" t="s">
        <v>22</v>
      </c>
      <c r="D125" s="11">
        <v>18</v>
      </c>
      <c r="E125" s="11">
        <v>24</v>
      </c>
      <c r="F125" s="12" t="s">
        <v>2</v>
      </c>
      <c r="G125" s="11">
        <f t="shared" si="21"/>
        <v>0</v>
      </c>
      <c r="H125" s="13">
        <f>VLOOKUP($D125,'733講義室'!$B$2:$F$39,2,FALSE)</f>
        <v>0</v>
      </c>
      <c r="I125" s="11">
        <f>VLOOKUP($D125,'733講義室'!$B$2:$F$39,3,FALSE)</f>
        <v>0</v>
      </c>
      <c r="J125" s="11">
        <f>VLOOKUP($D125,'733講義室'!$B$2:$F$39,4,FALSE)</f>
        <v>0</v>
      </c>
      <c r="K125" s="11">
        <f>VLOOKUP($D125,'733講義室'!$B$2:$F$39,5,FALSE)</f>
        <v>0</v>
      </c>
      <c r="L125" s="11">
        <f>VLOOKUP($A125,'733講義室'!$G$2:$I$39,3,FALSE)</f>
        <v>0</v>
      </c>
      <c r="M125" s="12">
        <f>VLOOKUP($D125,'733講義室'!$B$2:$J$39,9,FALSE)</f>
        <v>0</v>
      </c>
      <c r="N125" s="14">
        <f t="shared" si="22"/>
        <v>0</v>
      </c>
      <c r="O125" s="13" cm="1">
        <f t="array" ref="O125">_xlfn.LET(
  _xlpm.t, TIME(0, INT($H125/100), MOD($H125,100)),
  _xlfn.IFS(
    AND(_xlpm.t&gt;=TIME(0,7,1),  _xlpm.t&lt;=TIME(0,8,19)), 1,
    AND(_xlpm.t&gt;=TIME(0,6,1),  _xlpm.t&lt;=TIME(0,7,0)),  0.8,
    AND(_xlpm.t&gt;=TIME(0,8,20), _xlpm.t&lt;=TIME(0,8,59)), 0.8,
    AND(_xlpm.t&gt;=TIME(0,5,1),  _xlpm.t&lt;=TIME(0,6,0)),  0.5,
    AND(_xlpm.t&gt;=TIME(0,9,0),  _xlpm.t&lt;=TIME(0,9,59)), 0.5,
    TRUE, 0.3
  )
)</f>
        <v>0.3</v>
      </c>
      <c r="P125" s="11">
        <f t="shared" si="23"/>
        <v>0</v>
      </c>
      <c r="Q125" s="11">
        <f t="shared" si="24"/>
        <v>0</v>
      </c>
      <c r="R125" s="11">
        <f t="shared" si="25"/>
        <v>0</v>
      </c>
      <c r="S125" s="11">
        <f t="shared" si="26"/>
        <v>0</v>
      </c>
      <c r="T125" s="11">
        <f t="shared" si="27"/>
        <v>0</v>
      </c>
    </row>
    <row r="126" spans="1:20">
      <c r="A126" s="11" t="s">
        <v>206</v>
      </c>
      <c r="B126" s="11" t="s">
        <v>207</v>
      </c>
      <c r="C126" s="11" t="s">
        <v>22</v>
      </c>
      <c r="D126" s="11">
        <v>20</v>
      </c>
      <c r="E126" s="11">
        <v>17</v>
      </c>
      <c r="F126" s="12" t="s">
        <v>2</v>
      </c>
      <c r="G126" s="11">
        <f t="shared" si="21"/>
        <v>0</v>
      </c>
      <c r="H126" s="13">
        <f>VLOOKUP($D126,'733講義室'!$B$2:$F$39,2,FALSE)</f>
        <v>0</v>
      </c>
      <c r="I126" s="11">
        <f>VLOOKUP($D126,'733講義室'!$B$2:$F$39,3,FALSE)</f>
        <v>0</v>
      </c>
      <c r="J126" s="11">
        <f>VLOOKUP($D126,'733講義室'!$B$2:$F$39,4,FALSE)</f>
        <v>0</v>
      </c>
      <c r="K126" s="11">
        <f>VLOOKUP($D126,'733講義室'!$B$2:$F$39,5,FALSE)</f>
        <v>0</v>
      </c>
      <c r="L126" s="11">
        <f>VLOOKUP($A126,'733講義室'!$G$2:$I$39,3,FALSE)</f>
        <v>0</v>
      </c>
      <c r="M126" s="12">
        <f>VLOOKUP($D126,'733講義室'!$B$2:$J$39,9,FALSE)</f>
        <v>0</v>
      </c>
      <c r="N126" s="14">
        <f t="shared" si="22"/>
        <v>0</v>
      </c>
      <c r="O126" s="13" cm="1">
        <f t="array" ref="O126">_xlfn.LET(
  _xlpm.t, TIME(0, INT($H126/100), MOD($H126,100)),
  _xlfn.IFS(
    AND(_xlpm.t&gt;=TIME(0,7,1),  _xlpm.t&lt;=TIME(0,8,19)), 1,
    AND(_xlpm.t&gt;=TIME(0,6,1),  _xlpm.t&lt;=TIME(0,7,0)),  0.8,
    AND(_xlpm.t&gt;=TIME(0,8,20), _xlpm.t&lt;=TIME(0,8,59)), 0.8,
    AND(_xlpm.t&gt;=TIME(0,5,1),  _xlpm.t&lt;=TIME(0,6,0)),  0.5,
    AND(_xlpm.t&gt;=TIME(0,9,0),  _xlpm.t&lt;=TIME(0,9,59)), 0.5,
    TRUE, 0.3
  )
)</f>
        <v>0.3</v>
      </c>
      <c r="P126" s="11">
        <f t="shared" si="23"/>
        <v>0</v>
      </c>
      <c r="Q126" s="11">
        <f t="shared" si="24"/>
        <v>0</v>
      </c>
      <c r="R126" s="11">
        <f t="shared" si="25"/>
        <v>0</v>
      </c>
      <c r="S126" s="11">
        <f t="shared" si="26"/>
        <v>0</v>
      </c>
      <c r="T126" s="11">
        <f t="shared" si="27"/>
        <v>0</v>
      </c>
    </row>
    <row r="127" spans="1:20">
      <c r="A127" s="11" t="s">
        <v>226</v>
      </c>
      <c r="B127" s="11" t="s">
        <v>227</v>
      </c>
      <c r="C127" s="11" t="s">
        <v>22</v>
      </c>
      <c r="D127" s="11">
        <v>20</v>
      </c>
      <c r="E127" s="11">
        <v>17</v>
      </c>
      <c r="F127" s="12" t="s">
        <v>2</v>
      </c>
      <c r="G127" s="11">
        <f t="shared" si="21"/>
        <v>0</v>
      </c>
      <c r="H127" s="13">
        <f>VLOOKUP($D127,'733講義室'!$B$2:$F$39,2,FALSE)</f>
        <v>0</v>
      </c>
      <c r="I127" s="11">
        <f>VLOOKUP($D127,'733講義室'!$B$2:$F$39,3,FALSE)</f>
        <v>0</v>
      </c>
      <c r="J127" s="11">
        <f>VLOOKUP($D127,'733講義室'!$B$2:$F$39,4,FALSE)</f>
        <v>0</v>
      </c>
      <c r="K127" s="11">
        <f>VLOOKUP($D127,'733講義室'!$B$2:$F$39,5,FALSE)</f>
        <v>0</v>
      </c>
      <c r="L127" s="11">
        <f>VLOOKUP($A127,'733講義室'!$G$2:$I$39,3,FALSE)</f>
        <v>0</v>
      </c>
      <c r="M127" s="12">
        <f>VLOOKUP($D127,'733講義室'!$B$2:$J$39,9,FALSE)</f>
        <v>0</v>
      </c>
      <c r="N127" s="14">
        <f t="shared" si="22"/>
        <v>0</v>
      </c>
      <c r="O127" s="13" cm="1">
        <f t="array" ref="O127">_xlfn.LET(
  _xlpm.t, TIME(0, INT($H127/100), MOD($H127,100)),
  _xlfn.IFS(
    AND(_xlpm.t&gt;=TIME(0,7,1),  _xlpm.t&lt;=TIME(0,8,19)), 1,
    AND(_xlpm.t&gt;=TIME(0,6,1),  _xlpm.t&lt;=TIME(0,7,0)),  0.8,
    AND(_xlpm.t&gt;=TIME(0,8,20), _xlpm.t&lt;=TIME(0,8,59)), 0.8,
    AND(_xlpm.t&gt;=TIME(0,5,1),  _xlpm.t&lt;=TIME(0,6,0)),  0.5,
    AND(_xlpm.t&gt;=TIME(0,9,0),  _xlpm.t&lt;=TIME(0,9,59)), 0.5,
    TRUE, 0.3
  )
)</f>
        <v>0.3</v>
      </c>
      <c r="P127" s="11">
        <f t="shared" si="23"/>
        <v>0</v>
      </c>
      <c r="Q127" s="11">
        <f t="shared" si="24"/>
        <v>0</v>
      </c>
      <c r="R127" s="11">
        <f t="shared" si="25"/>
        <v>0</v>
      </c>
      <c r="S127" s="11">
        <f t="shared" si="26"/>
        <v>0</v>
      </c>
      <c r="T127" s="11">
        <f t="shared" si="27"/>
        <v>0</v>
      </c>
    </row>
    <row r="128" spans="1:20">
      <c r="A128" s="11" t="s">
        <v>250</v>
      </c>
      <c r="B128" s="11" t="s">
        <v>251</v>
      </c>
      <c r="C128" s="11" t="s">
        <v>22</v>
      </c>
      <c r="D128" s="11">
        <v>20</v>
      </c>
      <c r="E128" s="11">
        <v>17</v>
      </c>
      <c r="F128" s="12" t="s">
        <v>2</v>
      </c>
      <c r="G128" s="11">
        <f t="shared" si="21"/>
        <v>0</v>
      </c>
      <c r="H128" s="13">
        <f>VLOOKUP($D128,'733講義室'!$B$2:$F$39,2,FALSE)</f>
        <v>0</v>
      </c>
      <c r="I128" s="11">
        <f>VLOOKUP($D128,'733講義室'!$B$2:$F$39,3,FALSE)</f>
        <v>0</v>
      </c>
      <c r="J128" s="11">
        <f>VLOOKUP($D128,'733講義室'!$B$2:$F$39,4,FALSE)</f>
        <v>0</v>
      </c>
      <c r="K128" s="11">
        <f>VLOOKUP($D128,'733講義室'!$B$2:$F$39,5,FALSE)</f>
        <v>0</v>
      </c>
      <c r="L128" s="11">
        <f>VLOOKUP($A128,'733講義室'!$G$2:$I$39,3,FALSE)</f>
        <v>0</v>
      </c>
      <c r="M128" s="12">
        <f>VLOOKUP($D128,'733講義室'!$B$2:$J$39,9,FALSE)</f>
        <v>0</v>
      </c>
      <c r="N128" s="14">
        <f t="shared" si="22"/>
        <v>0</v>
      </c>
      <c r="O128" s="13" cm="1">
        <f t="array" ref="O128">_xlfn.LET(
  _xlpm.t, TIME(0, INT($H128/100), MOD($H128,100)),
  _xlfn.IFS(
    AND(_xlpm.t&gt;=TIME(0,7,1),  _xlpm.t&lt;=TIME(0,8,19)), 1,
    AND(_xlpm.t&gt;=TIME(0,6,1),  _xlpm.t&lt;=TIME(0,7,0)),  0.8,
    AND(_xlpm.t&gt;=TIME(0,8,20), _xlpm.t&lt;=TIME(0,8,59)), 0.8,
    AND(_xlpm.t&gt;=TIME(0,5,1),  _xlpm.t&lt;=TIME(0,6,0)),  0.5,
    AND(_xlpm.t&gt;=TIME(0,9,0),  _xlpm.t&lt;=TIME(0,9,59)), 0.5,
    TRUE, 0.3
  )
)</f>
        <v>0.3</v>
      </c>
      <c r="P128" s="11">
        <f t="shared" si="23"/>
        <v>0</v>
      </c>
      <c r="Q128" s="11">
        <f t="shared" si="24"/>
        <v>0</v>
      </c>
      <c r="R128" s="11">
        <f t="shared" si="25"/>
        <v>0</v>
      </c>
      <c r="S128" s="11">
        <f t="shared" si="26"/>
        <v>0</v>
      </c>
      <c r="T128" s="11">
        <f t="shared" si="27"/>
        <v>0</v>
      </c>
    </row>
    <row r="129" spans="1:20">
      <c r="A129" s="11" t="s">
        <v>122</v>
      </c>
      <c r="B129" s="11" t="s">
        <v>123</v>
      </c>
      <c r="C129" s="11" t="s">
        <v>22</v>
      </c>
      <c r="D129" s="11">
        <v>5</v>
      </c>
      <c r="E129" s="11">
        <v>16</v>
      </c>
      <c r="F129" s="12" t="s">
        <v>2</v>
      </c>
      <c r="G129" s="11">
        <f t="shared" si="21"/>
        <v>0</v>
      </c>
      <c r="H129" s="13">
        <f>VLOOKUP($D129,'733講義室'!$B$2:$F$39,2,FALSE)</f>
        <v>0</v>
      </c>
      <c r="I129" s="11">
        <f>VLOOKUP($D129,'733講義室'!$B$2:$F$39,3,FALSE)</f>
        <v>0</v>
      </c>
      <c r="J129" s="11">
        <f>VLOOKUP($D129,'733講義室'!$B$2:$F$39,4,FALSE)</f>
        <v>0</v>
      </c>
      <c r="K129" s="11">
        <f>VLOOKUP($D129,'733講義室'!$B$2:$F$39,5,FALSE)</f>
        <v>0</v>
      </c>
      <c r="L129" s="11">
        <f>VLOOKUP($A129,'733講義室'!$G$2:$I$39,3,FALSE)</f>
        <v>0</v>
      </c>
      <c r="M129" s="12">
        <f>VLOOKUP($D129,'733講義室'!$B$2:$J$39,9,FALSE)</f>
        <v>0</v>
      </c>
      <c r="N129" s="14">
        <f t="shared" si="22"/>
        <v>0</v>
      </c>
      <c r="O129" s="13" cm="1">
        <f t="array" ref="O129">_xlfn.LET(
  _xlpm.t, TIME(0, INT($H129/100), MOD($H129,100)),
  _xlfn.IFS(
    AND(_xlpm.t&gt;=TIME(0,7,1),  _xlpm.t&lt;=TIME(0,8,19)), 1,
    AND(_xlpm.t&gt;=TIME(0,6,1),  _xlpm.t&lt;=TIME(0,7,0)),  0.8,
    AND(_xlpm.t&gt;=TIME(0,8,20), _xlpm.t&lt;=TIME(0,8,59)), 0.8,
    AND(_xlpm.t&gt;=TIME(0,5,1),  _xlpm.t&lt;=TIME(0,6,0)),  0.5,
    AND(_xlpm.t&gt;=TIME(0,9,0),  _xlpm.t&lt;=TIME(0,9,59)), 0.5,
    TRUE, 0.3
  )
)</f>
        <v>0.3</v>
      </c>
      <c r="P129" s="11">
        <f t="shared" si="23"/>
        <v>0</v>
      </c>
      <c r="Q129" s="11">
        <f t="shared" si="24"/>
        <v>0</v>
      </c>
      <c r="R129" s="11">
        <f t="shared" si="25"/>
        <v>0</v>
      </c>
      <c r="S129" s="11">
        <f t="shared" si="26"/>
        <v>0</v>
      </c>
      <c r="T129" s="11">
        <f t="shared" si="27"/>
        <v>0</v>
      </c>
    </row>
    <row r="130" spans="1:20">
      <c r="A130" s="11" t="s">
        <v>134</v>
      </c>
      <c r="B130" s="11" t="s">
        <v>135</v>
      </c>
      <c r="C130" s="11" t="s">
        <v>22</v>
      </c>
      <c r="D130" s="11">
        <v>5</v>
      </c>
      <c r="E130" s="11">
        <v>16</v>
      </c>
      <c r="F130" s="12" t="s">
        <v>2</v>
      </c>
      <c r="G130" s="11">
        <f t="shared" ref="G130:G140" si="28">SUM($P130:$T130)*$O130</f>
        <v>0</v>
      </c>
      <c r="H130" s="13">
        <f>VLOOKUP($D130,'733講義室'!$B$2:$F$39,2,FALSE)</f>
        <v>0</v>
      </c>
      <c r="I130" s="11">
        <f>VLOOKUP($D130,'733講義室'!$B$2:$F$39,3,FALSE)</f>
        <v>0</v>
      </c>
      <c r="J130" s="11">
        <f>VLOOKUP($D130,'733講義室'!$B$2:$F$39,4,FALSE)</f>
        <v>0</v>
      </c>
      <c r="K130" s="11">
        <f>VLOOKUP($D130,'733講義室'!$B$2:$F$39,5,FALSE)</f>
        <v>0</v>
      </c>
      <c r="L130" s="11">
        <f>VLOOKUP($A130,'733講義室'!$G$2:$I$39,3,FALSE)</f>
        <v>0</v>
      </c>
      <c r="M130" s="12">
        <f>VLOOKUP($D130,'733講義室'!$B$2:$J$39,9,FALSE)</f>
        <v>0</v>
      </c>
      <c r="N130" s="14">
        <f t="shared" ref="N130:N140" si="29">TIME(0, INT($H130/100), MOD($H130,100))</f>
        <v>0</v>
      </c>
      <c r="O130" s="13" cm="1">
        <f t="array" ref="O130">_xlfn.LET(
  _xlpm.t, TIME(0, INT($H130/100), MOD($H130,100)),
  _xlfn.IFS(
    AND(_xlpm.t&gt;=TIME(0,7,1),  _xlpm.t&lt;=TIME(0,8,19)), 1,
    AND(_xlpm.t&gt;=TIME(0,6,1),  _xlpm.t&lt;=TIME(0,7,0)),  0.8,
    AND(_xlpm.t&gt;=TIME(0,8,20), _xlpm.t&lt;=TIME(0,8,59)), 0.8,
    AND(_xlpm.t&gt;=TIME(0,5,1),  _xlpm.t&lt;=TIME(0,6,0)),  0.5,
    AND(_xlpm.t&gt;=TIME(0,9,0),  _xlpm.t&lt;=TIME(0,9,59)), 0.5,
    TRUE, 0.3
  )
)</f>
        <v>0.3</v>
      </c>
      <c r="P130" s="11">
        <f t="shared" ref="P130:P140" si="30">VALUE(LEFT(I130,1))</f>
        <v>0</v>
      </c>
      <c r="Q130" s="11">
        <f t="shared" ref="Q130:Q140" si="31">VALUE(LEFT(J130,1))</f>
        <v>0</v>
      </c>
      <c r="R130" s="11">
        <f t="shared" ref="R130:R140" si="32">VALUE(LEFT(K130,1))</f>
        <v>0</v>
      </c>
      <c r="S130" s="11">
        <f t="shared" ref="S130:S140" si="33">VALUE(LEFT(L130,1))</f>
        <v>0</v>
      </c>
      <c r="T130" s="11">
        <f t="shared" ref="T130:T140" si="34">VALUE(LEFT(M130,1))</f>
        <v>0</v>
      </c>
    </row>
    <row r="131" spans="1:20">
      <c r="A131" s="11" t="s">
        <v>232</v>
      </c>
      <c r="B131" s="11" t="s">
        <v>233</v>
      </c>
      <c r="C131" s="11" t="s">
        <v>22</v>
      </c>
      <c r="D131" s="11">
        <v>5</v>
      </c>
      <c r="E131" s="11">
        <v>16</v>
      </c>
      <c r="F131" s="12" t="s">
        <v>2</v>
      </c>
      <c r="G131" s="11">
        <f t="shared" si="28"/>
        <v>0</v>
      </c>
      <c r="H131" s="13">
        <f>VLOOKUP($D131,'733講義室'!$B$2:$F$39,2,FALSE)</f>
        <v>0</v>
      </c>
      <c r="I131" s="11">
        <f>VLOOKUP($D131,'733講義室'!$B$2:$F$39,3,FALSE)</f>
        <v>0</v>
      </c>
      <c r="J131" s="11">
        <f>VLOOKUP($D131,'733講義室'!$B$2:$F$39,4,FALSE)</f>
        <v>0</v>
      </c>
      <c r="K131" s="11">
        <f>VLOOKUP($D131,'733講義室'!$B$2:$F$39,5,FALSE)</f>
        <v>0</v>
      </c>
      <c r="L131" s="11">
        <f>VLOOKUP($A131,'733講義室'!$G$2:$I$39,3,FALSE)</f>
        <v>0</v>
      </c>
      <c r="M131" s="12">
        <f>VLOOKUP($D131,'733講義室'!$B$2:$J$39,9,FALSE)</f>
        <v>0</v>
      </c>
      <c r="N131" s="14">
        <f t="shared" si="29"/>
        <v>0</v>
      </c>
      <c r="O131" s="13" cm="1">
        <f t="array" ref="O131">_xlfn.LET(
  _xlpm.t, TIME(0, INT($H131/100), MOD($H131,100)),
  _xlfn.IFS(
    AND(_xlpm.t&gt;=TIME(0,7,1),  _xlpm.t&lt;=TIME(0,8,19)), 1,
    AND(_xlpm.t&gt;=TIME(0,6,1),  _xlpm.t&lt;=TIME(0,7,0)),  0.8,
    AND(_xlpm.t&gt;=TIME(0,8,20), _xlpm.t&lt;=TIME(0,8,59)), 0.8,
    AND(_xlpm.t&gt;=TIME(0,5,1),  _xlpm.t&lt;=TIME(0,6,0)),  0.5,
    AND(_xlpm.t&gt;=TIME(0,9,0),  _xlpm.t&lt;=TIME(0,9,59)), 0.5,
    TRUE, 0.3
  )
)</f>
        <v>0.3</v>
      </c>
      <c r="P131" s="11">
        <f t="shared" si="30"/>
        <v>0</v>
      </c>
      <c r="Q131" s="11">
        <f t="shared" si="31"/>
        <v>0</v>
      </c>
      <c r="R131" s="11">
        <f t="shared" si="32"/>
        <v>0</v>
      </c>
      <c r="S131" s="11">
        <f t="shared" si="33"/>
        <v>0</v>
      </c>
      <c r="T131" s="11">
        <f t="shared" si="34"/>
        <v>0</v>
      </c>
    </row>
    <row r="132" spans="1:20">
      <c r="A132" s="11" t="s">
        <v>32</v>
      </c>
      <c r="B132" s="11" t="s">
        <v>33</v>
      </c>
      <c r="C132" s="11" t="s">
        <v>22</v>
      </c>
      <c r="D132" s="11">
        <v>36</v>
      </c>
      <c r="E132" s="11">
        <v>9</v>
      </c>
      <c r="F132" s="12" t="s">
        <v>2</v>
      </c>
      <c r="G132" s="11">
        <f t="shared" si="28"/>
        <v>0</v>
      </c>
      <c r="H132" s="13">
        <f>VLOOKUP($D132,'733講義室'!$B$2:$F$39,2,FALSE)</f>
        <v>0</v>
      </c>
      <c r="I132" s="11">
        <f>VLOOKUP($D132,'733講義室'!$B$2:$F$39,3,FALSE)</f>
        <v>0</v>
      </c>
      <c r="J132" s="11">
        <f>VLOOKUP($D132,'733講義室'!$B$2:$F$39,4,FALSE)</f>
        <v>0</v>
      </c>
      <c r="K132" s="11">
        <f>VLOOKUP($D132,'733講義室'!$B$2:$F$39,5,FALSE)</f>
        <v>0</v>
      </c>
      <c r="L132" s="11">
        <f>VLOOKUP($A132,'733講義室'!$G$2:$I$39,3,FALSE)</f>
        <v>0</v>
      </c>
      <c r="M132" s="12">
        <f>VLOOKUP($D132,'733講義室'!$B$2:$J$39,9,FALSE)</f>
        <v>0</v>
      </c>
      <c r="N132" s="14">
        <f t="shared" si="29"/>
        <v>0</v>
      </c>
      <c r="O132" s="13" cm="1">
        <f t="array" ref="O132">_xlfn.LET(
  _xlpm.t, TIME(0, INT($H132/100), MOD($H132,100)),
  _xlfn.IFS(
    AND(_xlpm.t&gt;=TIME(0,7,1),  _xlpm.t&lt;=TIME(0,8,19)), 1,
    AND(_xlpm.t&gt;=TIME(0,6,1),  _xlpm.t&lt;=TIME(0,7,0)),  0.8,
    AND(_xlpm.t&gt;=TIME(0,8,20), _xlpm.t&lt;=TIME(0,8,59)), 0.8,
    AND(_xlpm.t&gt;=TIME(0,5,1),  _xlpm.t&lt;=TIME(0,6,0)),  0.5,
    AND(_xlpm.t&gt;=TIME(0,9,0),  _xlpm.t&lt;=TIME(0,9,59)), 0.5,
    TRUE, 0.3
  )
)</f>
        <v>0.3</v>
      </c>
      <c r="P132" s="11">
        <f t="shared" si="30"/>
        <v>0</v>
      </c>
      <c r="Q132" s="11">
        <f t="shared" si="31"/>
        <v>0</v>
      </c>
      <c r="R132" s="11">
        <f t="shared" si="32"/>
        <v>0</v>
      </c>
      <c r="S132" s="11">
        <f t="shared" si="33"/>
        <v>0</v>
      </c>
      <c r="T132" s="11">
        <f t="shared" si="34"/>
        <v>0</v>
      </c>
    </row>
    <row r="133" spans="1:20">
      <c r="A133" s="11" t="s">
        <v>48</v>
      </c>
      <c r="B133" s="11" t="s">
        <v>49</v>
      </c>
      <c r="C133" s="11" t="s">
        <v>22</v>
      </c>
      <c r="D133" s="11">
        <v>36</v>
      </c>
      <c r="E133" s="11">
        <v>9</v>
      </c>
      <c r="F133" s="12" t="s">
        <v>2</v>
      </c>
      <c r="G133" s="11">
        <f t="shared" si="28"/>
        <v>0</v>
      </c>
      <c r="H133" s="13">
        <f>VLOOKUP($D133,'733講義室'!$B$2:$F$39,2,FALSE)</f>
        <v>0</v>
      </c>
      <c r="I133" s="11">
        <f>VLOOKUP($D133,'733講義室'!$B$2:$F$39,3,FALSE)</f>
        <v>0</v>
      </c>
      <c r="J133" s="11">
        <f>VLOOKUP($D133,'733講義室'!$B$2:$F$39,4,FALSE)</f>
        <v>0</v>
      </c>
      <c r="K133" s="11">
        <f>VLOOKUP($D133,'733講義室'!$B$2:$F$39,5,FALSE)</f>
        <v>0</v>
      </c>
      <c r="L133" s="11">
        <f>VLOOKUP($A133,'733講義室'!$G$2:$I$39,3,FALSE)</f>
        <v>0</v>
      </c>
      <c r="M133" s="12">
        <f>VLOOKUP($D133,'733講義室'!$B$2:$J$39,9,FALSE)</f>
        <v>0</v>
      </c>
      <c r="N133" s="14">
        <f t="shared" si="29"/>
        <v>0</v>
      </c>
      <c r="O133" s="13" cm="1">
        <f t="array" ref="O133">_xlfn.LET(
  _xlpm.t, TIME(0, INT($H133/100), MOD($H133,100)),
  _xlfn.IFS(
    AND(_xlpm.t&gt;=TIME(0,7,1),  _xlpm.t&lt;=TIME(0,8,19)), 1,
    AND(_xlpm.t&gt;=TIME(0,6,1),  _xlpm.t&lt;=TIME(0,7,0)),  0.8,
    AND(_xlpm.t&gt;=TIME(0,8,20), _xlpm.t&lt;=TIME(0,8,59)), 0.8,
    AND(_xlpm.t&gt;=TIME(0,5,1),  _xlpm.t&lt;=TIME(0,6,0)),  0.5,
    AND(_xlpm.t&gt;=TIME(0,9,0),  _xlpm.t&lt;=TIME(0,9,59)), 0.5,
    TRUE, 0.3
  )
)</f>
        <v>0.3</v>
      </c>
      <c r="P133" s="11">
        <f t="shared" si="30"/>
        <v>0</v>
      </c>
      <c r="Q133" s="11">
        <f t="shared" si="31"/>
        <v>0</v>
      </c>
      <c r="R133" s="11">
        <f t="shared" si="32"/>
        <v>0</v>
      </c>
      <c r="S133" s="11">
        <f t="shared" si="33"/>
        <v>0</v>
      </c>
      <c r="T133" s="11">
        <f t="shared" si="34"/>
        <v>0</v>
      </c>
    </row>
    <row r="134" spans="1:20">
      <c r="A134" s="11" t="s">
        <v>202</v>
      </c>
      <c r="B134" s="11" t="s">
        <v>203</v>
      </c>
      <c r="C134" s="11" t="s">
        <v>22</v>
      </c>
      <c r="D134" s="11">
        <v>36</v>
      </c>
      <c r="E134" s="11">
        <v>9</v>
      </c>
      <c r="F134" s="12" t="s">
        <v>2</v>
      </c>
      <c r="G134" s="11">
        <f t="shared" si="28"/>
        <v>0</v>
      </c>
      <c r="H134" s="13">
        <f>VLOOKUP($D134,'733講義室'!$B$2:$F$39,2,FALSE)</f>
        <v>0</v>
      </c>
      <c r="I134" s="11">
        <f>VLOOKUP($D134,'733講義室'!$B$2:$F$39,3,FALSE)</f>
        <v>0</v>
      </c>
      <c r="J134" s="11">
        <f>VLOOKUP($D134,'733講義室'!$B$2:$F$39,4,FALSE)</f>
        <v>0</v>
      </c>
      <c r="K134" s="11">
        <f>VLOOKUP($D134,'733講義室'!$B$2:$F$39,5,FALSE)</f>
        <v>0</v>
      </c>
      <c r="L134" s="11">
        <f>VLOOKUP($A134,'733講義室'!$G$2:$I$39,3,FALSE)</f>
        <v>0</v>
      </c>
      <c r="M134" s="12">
        <f>VLOOKUP($D134,'733講義室'!$B$2:$J$39,9,FALSE)</f>
        <v>0</v>
      </c>
      <c r="N134" s="14">
        <f t="shared" si="29"/>
        <v>0</v>
      </c>
      <c r="O134" s="13" cm="1">
        <f t="array" ref="O134">_xlfn.LET(
  _xlpm.t, TIME(0, INT($H134/100), MOD($H134,100)),
  _xlfn.IFS(
    AND(_xlpm.t&gt;=TIME(0,7,1),  _xlpm.t&lt;=TIME(0,8,19)), 1,
    AND(_xlpm.t&gt;=TIME(0,6,1),  _xlpm.t&lt;=TIME(0,7,0)),  0.8,
    AND(_xlpm.t&gt;=TIME(0,8,20), _xlpm.t&lt;=TIME(0,8,59)), 0.8,
    AND(_xlpm.t&gt;=TIME(0,5,1),  _xlpm.t&lt;=TIME(0,6,0)),  0.5,
    AND(_xlpm.t&gt;=TIME(0,9,0),  _xlpm.t&lt;=TIME(0,9,59)), 0.5,
    TRUE, 0.3
  )
)</f>
        <v>0.3</v>
      </c>
      <c r="P134" s="11">
        <f t="shared" si="30"/>
        <v>0</v>
      </c>
      <c r="Q134" s="11">
        <f t="shared" si="31"/>
        <v>0</v>
      </c>
      <c r="R134" s="11">
        <f t="shared" si="32"/>
        <v>0</v>
      </c>
      <c r="S134" s="11">
        <f t="shared" si="33"/>
        <v>0</v>
      </c>
      <c r="T134" s="11">
        <f t="shared" si="34"/>
        <v>0</v>
      </c>
    </row>
    <row r="135" spans="1:20">
      <c r="A135" s="11" t="s">
        <v>26</v>
      </c>
      <c r="B135" s="11" t="s">
        <v>27</v>
      </c>
      <c r="C135" s="11" t="s">
        <v>22</v>
      </c>
      <c r="D135" s="11">
        <v>15</v>
      </c>
      <c r="E135" s="11">
        <v>8</v>
      </c>
      <c r="F135" s="12" t="s">
        <v>2</v>
      </c>
      <c r="G135" s="11">
        <f t="shared" si="28"/>
        <v>0</v>
      </c>
      <c r="H135" s="13">
        <f>VLOOKUP($D135,'733講義室'!$B$2:$F$39,2,FALSE)</f>
        <v>0</v>
      </c>
      <c r="I135" s="11">
        <f>VLOOKUP($D135,'733講義室'!$B$2:$F$39,3,FALSE)</f>
        <v>0</v>
      </c>
      <c r="J135" s="11">
        <f>VLOOKUP($D135,'733講義室'!$B$2:$F$39,4,FALSE)</f>
        <v>0</v>
      </c>
      <c r="K135" s="11">
        <f>VLOOKUP($D135,'733講義室'!$B$2:$F$39,5,FALSE)</f>
        <v>0</v>
      </c>
      <c r="L135" s="11">
        <f>VLOOKUP($A135,'733講義室'!$G$2:$I$39,3,FALSE)</f>
        <v>0</v>
      </c>
      <c r="M135" s="12">
        <f>VLOOKUP($D135,'733講義室'!$B$2:$J$39,9,FALSE)</f>
        <v>0</v>
      </c>
      <c r="N135" s="14">
        <f t="shared" si="29"/>
        <v>0</v>
      </c>
      <c r="O135" s="13" cm="1">
        <f t="array" ref="O135">_xlfn.LET(
  _xlpm.t, TIME(0, INT($H135/100), MOD($H135,100)),
  _xlfn.IFS(
    AND(_xlpm.t&gt;=TIME(0,7,1),  _xlpm.t&lt;=TIME(0,8,19)), 1,
    AND(_xlpm.t&gt;=TIME(0,6,1),  _xlpm.t&lt;=TIME(0,7,0)),  0.8,
    AND(_xlpm.t&gt;=TIME(0,8,20), _xlpm.t&lt;=TIME(0,8,59)), 0.8,
    AND(_xlpm.t&gt;=TIME(0,5,1),  _xlpm.t&lt;=TIME(0,6,0)),  0.5,
    AND(_xlpm.t&gt;=TIME(0,9,0),  _xlpm.t&lt;=TIME(0,9,59)), 0.5,
    TRUE, 0.3
  )
)</f>
        <v>0.3</v>
      </c>
      <c r="P135" s="11">
        <f t="shared" si="30"/>
        <v>0</v>
      </c>
      <c r="Q135" s="11">
        <f t="shared" si="31"/>
        <v>0</v>
      </c>
      <c r="R135" s="11">
        <f t="shared" si="32"/>
        <v>0</v>
      </c>
      <c r="S135" s="11">
        <f t="shared" si="33"/>
        <v>0</v>
      </c>
      <c r="T135" s="11">
        <f t="shared" si="34"/>
        <v>0</v>
      </c>
    </row>
    <row r="136" spans="1:20">
      <c r="A136" s="11" t="s">
        <v>40</v>
      </c>
      <c r="B136" s="11" t="s">
        <v>41</v>
      </c>
      <c r="C136" s="11" t="s">
        <v>22</v>
      </c>
      <c r="D136" s="11">
        <v>15</v>
      </c>
      <c r="E136" s="11">
        <v>8</v>
      </c>
      <c r="F136" s="12" t="s">
        <v>2</v>
      </c>
      <c r="G136" s="11">
        <f t="shared" si="28"/>
        <v>0</v>
      </c>
      <c r="H136" s="13">
        <f>VLOOKUP($D136,'733講義室'!$B$2:$F$39,2,FALSE)</f>
        <v>0</v>
      </c>
      <c r="I136" s="11">
        <f>VLOOKUP($D136,'733講義室'!$B$2:$F$39,3,FALSE)</f>
        <v>0</v>
      </c>
      <c r="J136" s="11">
        <f>VLOOKUP($D136,'733講義室'!$B$2:$F$39,4,FALSE)</f>
        <v>0</v>
      </c>
      <c r="K136" s="11">
        <f>VLOOKUP($D136,'733講義室'!$B$2:$F$39,5,FALSE)</f>
        <v>0</v>
      </c>
      <c r="L136" s="11">
        <f>VLOOKUP($A136,'733講義室'!$G$2:$I$39,3,FALSE)</f>
        <v>0</v>
      </c>
      <c r="M136" s="12">
        <f>VLOOKUP($D136,'733講義室'!$B$2:$J$39,9,FALSE)</f>
        <v>0</v>
      </c>
      <c r="N136" s="14">
        <f t="shared" si="29"/>
        <v>0</v>
      </c>
      <c r="O136" s="13" cm="1">
        <f t="array" ref="O136">_xlfn.LET(
  _xlpm.t, TIME(0, INT($H136/100), MOD($H136,100)),
  _xlfn.IFS(
    AND(_xlpm.t&gt;=TIME(0,7,1),  _xlpm.t&lt;=TIME(0,8,19)), 1,
    AND(_xlpm.t&gt;=TIME(0,6,1),  _xlpm.t&lt;=TIME(0,7,0)),  0.8,
    AND(_xlpm.t&gt;=TIME(0,8,20), _xlpm.t&lt;=TIME(0,8,59)), 0.8,
    AND(_xlpm.t&gt;=TIME(0,5,1),  _xlpm.t&lt;=TIME(0,6,0)),  0.5,
    AND(_xlpm.t&gt;=TIME(0,9,0),  _xlpm.t&lt;=TIME(0,9,59)), 0.5,
    TRUE, 0.3
  )
)</f>
        <v>0.3</v>
      </c>
      <c r="P136" s="11">
        <f t="shared" si="30"/>
        <v>0</v>
      </c>
      <c r="Q136" s="11">
        <f t="shared" si="31"/>
        <v>0</v>
      </c>
      <c r="R136" s="11">
        <f t="shared" si="32"/>
        <v>0</v>
      </c>
      <c r="S136" s="11">
        <f t="shared" si="33"/>
        <v>0</v>
      </c>
      <c r="T136" s="11">
        <f t="shared" si="34"/>
        <v>0</v>
      </c>
    </row>
    <row r="137" spans="1:20">
      <c r="A137" s="11" t="s">
        <v>118</v>
      </c>
      <c r="B137" s="11" t="s">
        <v>119</v>
      </c>
      <c r="C137" s="11" t="s">
        <v>22</v>
      </c>
      <c r="D137" s="11">
        <v>15</v>
      </c>
      <c r="E137" s="11">
        <v>8</v>
      </c>
      <c r="F137" s="12" t="s">
        <v>2</v>
      </c>
      <c r="G137" s="11">
        <f t="shared" si="28"/>
        <v>0</v>
      </c>
      <c r="H137" s="13">
        <f>VLOOKUP($D137,'733講義室'!$B$2:$F$39,2,FALSE)</f>
        <v>0</v>
      </c>
      <c r="I137" s="11">
        <f>VLOOKUP($D137,'733講義室'!$B$2:$F$39,3,FALSE)</f>
        <v>0</v>
      </c>
      <c r="J137" s="11">
        <f>VLOOKUP($D137,'733講義室'!$B$2:$F$39,4,FALSE)</f>
        <v>0</v>
      </c>
      <c r="K137" s="11">
        <f>VLOOKUP($D137,'733講義室'!$B$2:$F$39,5,FALSE)</f>
        <v>0</v>
      </c>
      <c r="L137" s="11">
        <f>VLOOKUP($A137,'733講義室'!$G$2:$I$39,3,FALSE)</f>
        <v>0</v>
      </c>
      <c r="M137" s="12">
        <f>VLOOKUP($D137,'733講義室'!$B$2:$J$39,9,FALSE)</f>
        <v>0</v>
      </c>
      <c r="N137" s="14">
        <f t="shared" si="29"/>
        <v>0</v>
      </c>
      <c r="O137" s="13" cm="1">
        <f t="array" ref="O137">_xlfn.LET(
  _xlpm.t, TIME(0, INT($H137/100), MOD($H137,100)),
  _xlfn.IFS(
    AND(_xlpm.t&gt;=TIME(0,7,1),  _xlpm.t&lt;=TIME(0,8,19)), 1,
    AND(_xlpm.t&gt;=TIME(0,6,1),  _xlpm.t&lt;=TIME(0,7,0)),  0.8,
    AND(_xlpm.t&gt;=TIME(0,8,20), _xlpm.t&lt;=TIME(0,8,59)), 0.8,
    AND(_xlpm.t&gt;=TIME(0,5,1),  _xlpm.t&lt;=TIME(0,6,0)),  0.5,
    AND(_xlpm.t&gt;=TIME(0,9,0),  _xlpm.t&lt;=TIME(0,9,59)), 0.5,
    TRUE, 0.3
  )
)</f>
        <v>0.3</v>
      </c>
      <c r="P137" s="11">
        <f t="shared" si="30"/>
        <v>0</v>
      </c>
      <c r="Q137" s="11">
        <f t="shared" si="31"/>
        <v>0</v>
      </c>
      <c r="R137" s="11">
        <f t="shared" si="32"/>
        <v>0</v>
      </c>
      <c r="S137" s="11">
        <f t="shared" si="33"/>
        <v>0</v>
      </c>
      <c r="T137" s="11">
        <f t="shared" si="34"/>
        <v>0</v>
      </c>
    </row>
    <row r="138" spans="1:20">
      <c r="A138" s="11" t="s">
        <v>62</v>
      </c>
      <c r="B138" s="11" t="s">
        <v>63</v>
      </c>
      <c r="C138" s="11" t="s">
        <v>22</v>
      </c>
      <c r="D138" s="11">
        <v>40</v>
      </c>
      <c r="E138" s="11">
        <v>1</v>
      </c>
      <c r="F138" s="12" t="s">
        <v>2</v>
      </c>
      <c r="G138" s="11">
        <f t="shared" si="28"/>
        <v>0</v>
      </c>
      <c r="H138" s="13">
        <f>VLOOKUP($D138,'733講義室'!$B$2:$F$39,2,FALSE)</f>
        <v>0</v>
      </c>
      <c r="I138" s="11">
        <f>VLOOKUP($D138,'733講義室'!$B$2:$F$39,3,FALSE)</f>
        <v>0</v>
      </c>
      <c r="J138" s="11">
        <f>VLOOKUP($D138,'733講義室'!$B$2:$F$39,4,FALSE)</f>
        <v>0</v>
      </c>
      <c r="K138" s="11">
        <f>VLOOKUP($D138,'733講義室'!$B$2:$F$39,5,FALSE)</f>
        <v>0</v>
      </c>
      <c r="L138" s="11">
        <f>VLOOKUP($A138,'733講義室'!$G$2:$I$39,3,FALSE)</f>
        <v>0</v>
      </c>
      <c r="M138" s="12">
        <f>VLOOKUP($D138,'733講義室'!$B$2:$J$39,9,FALSE)</f>
        <v>0</v>
      </c>
      <c r="N138" s="14">
        <f t="shared" si="29"/>
        <v>0</v>
      </c>
      <c r="O138" s="13" cm="1">
        <f t="array" ref="O138">_xlfn.LET(
  _xlpm.t, TIME(0, INT($H138/100), MOD($H138,100)),
  _xlfn.IFS(
    AND(_xlpm.t&gt;=TIME(0,7,1),  _xlpm.t&lt;=TIME(0,8,19)), 1,
    AND(_xlpm.t&gt;=TIME(0,6,1),  _xlpm.t&lt;=TIME(0,7,0)),  0.8,
    AND(_xlpm.t&gt;=TIME(0,8,20), _xlpm.t&lt;=TIME(0,8,59)), 0.8,
    AND(_xlpm.t&gt;=TIME(0,5,1),  _xlpm.t&lt;=TIME(0,6,0)),  0.5,
    AND(_xlpm.t&gt;=TIME(0,9,0),  _xlpm.t&lt;=TIME(0,9,59)), 0.5,
    TRUE, 0.3
  )
)</f>
        <v>0.3</v>
      </c>
      <c r="P138" s="11">
        <f t="shared" si="30"/>
        <v>0</v>
      </c>
      <c r="Q138" s="11">
        <f t="shared" si="31"/>
        <v>0</v>
      </c>
      <c r="R138" s="11">
        <f t="shared" si="32"/>
        <v>0</v>
      </c>
      <c r="S138" s="11">
        <f t="shared" si="33"/>
        <v>0</v>
      </c>
      <c r="T138" s="11">
        <f t="shared" si="34"/>
        <v>0</v>
      </c>
    </row>
    <row r="139" spans="1:20">
      <c r="A139" s="11" t="s">
        <v>72</v>
      </c>
      <c r="B139" s="11" t="s">
        <v>73</v>
      </c>
      <c r="C139" s="11" t="s">
        <v>22</v>
      </c>
      <c r="D139" s="11">
        <v>40</v>
      </c>
      <c r="E139" s="11">
        <v>1</v>
      </c>
      <c r="F139" s="12" t="s">
        <v>2</v>
      </c>
      <c r="G139" s="11">
        <f t="shared" si="28"/>
        <v>0</v>
      </c>
      <c r="H139" s="13">
        <f>VLOOKUP($D139,'733講義室'!$B$2:$F$39,2,FALSE)</f>
        <v>0</v>
      </c>
      <c r="I139" s="11">
        <f>VLOOKUP($D139,'733講義室'!$B$2:$F$39,3,FALSE)</f>
        <v>0</v>
      </c>
      <c r="J139" s="11">
        <f>VLOOKUP($D139,'733講義室'!$B$2:$F$39,4,FALSE)</f>
        <v>0</v>
      </c>
      <c r="K139" s="11">
        <f>VLOOKUP($D139,'733講義室'!$B$2:$F$39,5,FALSE)</f>
        <v>0</v>
      </c>
      <c r="L139" s="11">
        <f>VLOOKUP($A139,'733講義室'!$G$2:$I$39,3,FALSE)</f>
        <v>0</v>
      </c>
      <c r="M139" s="12">
        <f>VLOOKUP($D139,'733講義室'!$B$2:$J$39,9,FALSE)</f>
        <v>0</v>
      </c>
      <c r="N139" s="14">
        <f t="shared" si="29"/>
        <v>0</v>
      </c>
      <c r="O139" s="13" cm="1">
        <f t="array" ref="O139">_xlfn.LET(
  _xlpm.t, TIME(0, INT($H139/100), MOD($H139,100)),
  _xlfn.IFS(
    AND(_xlpm.t&gt;=TIME(0,7,1),  _xlpm.t&lt;=TIME(0,8,19)), 1,
    AND(_xlpm.t&gt;=TIME(0,6,1),  _xlpm.t&lt;=TIME(0,7,0)),  0.8,
    AND(_xlpm.t&gt;=TIME(0,8,20), _xlpm.t&lt;=TIME(0,8,59)), 0.8,
    AND(_xlpm.t&gt;=TIME(0,5,1),  _xlpm.t&lt;=TIME(0,6,0)),  0.5,
    AND(_xlpm.t&gt;=TIME(0,9,0),  _xlpm.t&lt;=TIME(0,9,59)), 0.5,
    TRUE, 0.3
  )
)</f>
        <v>0.3</v>
      </c>
      <c r="P139" s="11">
        <f t="shared" si="30"/>
        <v>0</v>
      </c>
      <c r="Q139" s="11">
        <f t="shared" si="31"/>
        <v>0</v>
      </c>
      <c r="R139" s="11">
        <f t="shared" si="32"/>
        <v>0</v>
      </c>
      <c r="S139" s="11">
        <f t="shared" si="33"/>
        <v>0</v>
      </c>
      <c r="T139" s="11">
        <f t="shared" si="34"/>
        <v>0</v>
      </c>
    </row>
    <row r="140" spans="1:20">
      <c r="A140" s="11" t="s">
        <v>256</v>
      </c>
      <c r="B140" s="11" t="s">
        <v>257</v>
      </c>
      <c r="C140" s="11" t="s">
        <v>22</v>
      </c>
      <c r="D140" s="11">
        <v>40</v>
      </c>
      <c r="E140" s="11">
        <v>1</v>
      </c>
      <c r="F140" s="12" t="s">
        <v>2</v>
      </c>
      <c r="G140" s="11">
        <f t="shared" si="28"/>
        <v>0</v>
      </c>
      <c r="H140" s="13">
        <f>VLOOKUP($D140,'733講義室'!$B$2:$F$39,2,FALSE)</f>
        <v>0</v>
      </c>
      <c r="I140" s="11">
        <f>VLOOKUP($D140,'733講義室'!$B$2:$F$39,3,FALSE)</f>
        <v>0</v>
      </c>
      <c r="J140" s="11">
        <f>VLOOKUP($D140,'733講義室'!$B$2:$F$39,4,FALSE)</f>
        <v>0</v>
      </c>
      <c r="K140" s="11">
        <f>VLOOKUP($D140,'733講義室'!$B$2:$F$39,5,FALSE)</f>
        <v>0</v>
      </c>
      <c r="L140" s="11">
        <f>VLOOKUP($A140,'733講義室'!$G$2:$I$39,3,FALSE)</f>
        <v>0</v>
      </c>
      <c r="M140" s="12">
        <f>VLOOKUP($D140,'733講義室'!$B$2:$J$39,9,FALSE)</f>
        <v>0</v>
      </c>
      <c r="N140" s="14">
        <f t="shared" si="29"/>
        <v>0</v>
      </c>
      <c r="O140" s="13" cm="1">
        <f t="array" ref="O140">_xlfn.LET(
  _xlpm.t, TIME(0, INT($H140/100), MOD($H140,100)),
  _xlfn.IFS(
    AND(_xlpm.t&gt;=TIME(0,7,1),  _xlpm.t&lt;=TIME(0,8,19)), 1,
    AND(_xlpm.t&gt;=TIME(0,6,1),  _xlpm.t&lt;=TIME(0,7,0)),  0.8,
    AND(_xlpm.t&gt;=TIME(0,8,20), _xlpm.t&lt;=TIME(0,8,59)), 0.8,
    AND(_xlpm.t&gt;=TIME(0,5,1),  _xlpm.t&lt;=TIME(0,6,0)),  0.5,
    AND(_xlpm.t&gt;=TIME(0,9,0),  _xlpm.t&lt;=TIME(0,9,59)), 0.5,
    TRUE, 0.3
  )
)</f>
        <v>0.3</v>
      </c>
      <c r="P140" s="11">
        <f t="shared" si="30"/>
        <v>0</v>
      </c>
      <c r="Q140" s="11">
        <f t="shared" si="31"/>
        <v>0</v>
      </c>
      <c r="R140" s="11">
        <f t="shared" si="32"/>
        <v>0</v>
      </c>
      <c r="S140" s="11">
        <f t="shared" si="33"/>
        <v>0</v>
      </c>
      <c r="T140" s="11">
        <f t="shared" si="34"/>
        <v>0</v>
      </c>
    </row>
  </sheetData>
  <sheetProtection algorithmName="SHA-512" hashValue="bte17z9IW24kg8Mjn7wQ6GiDLf6U9DOnsVK5ZuXalPWC6By1RdBylsx1u2/Rwssb/8EDnAYLPcwdYGmym5lndA==" saltValue="R3mJAkY9ufC9cwsn+QofqQ==" spinCount="100000" sheet="1" objects="1" scenarios="1" autoFilter="0"/>
  <sortState xmlns:xlrd2="http://schemas.microsoft.com/office/spreadsheetml/2017/richdata2" ref="A2:F140">
    <sortCondition ref="F2:F140"/>
  </sortState>
  <phoneticPr fontId="1"/>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F729-1AC2-47FA-A2D4-B573EFE21F47}">
  <dimension ref="A1:D45"/>
  <sheetViews>
    <sheetView zoomScale="85" zoomScaleNormal="85" workbookViewId="0">
      <selection activeCell="C8" sqref="C8"/>
    </sheetView>
  </sheetViews>
  <sheetFormatPr baseColWidth="10" defaultColWidth="8.83203125" defaultRowHeight="18"/>
  <cols>
    <col min="2" max="2" width="12.5" customWidth="1"/>
    <col min="3" max="3" width="119.33203125" customWidth="1"/>
    <col min="4" max="4" width="15.83203125" style="11" customWidth="1"/>
  </cols>
  <sheetData>
    <row r="1" spans="1:4" ht="19" thickBot="1">
      <c r="A1" s="24" t="s">
        <v>349</v>
      </c>
      <c r="B1" s="25" t="s">
        <v>279</v>
      </c>
      <c r="C1" s="25" t="s">
        <v>348</v>
      </c>
      <c r="D1" s="17" t="s">
        <v>347</v>
      </c>
    </row>
    <row r="2" spans="1:4">
      <c r="A2" s="13">
        <v>16</v>
      </c>
      <c r="B2" s="12" t="s">
        <v>23</v>
      </c>
      <c r="C2" s="27" t="s">
        <v>319</v>
      </c>
      <c r="D2" s="18">
        <v>41</v>
      </c>
    </row>
    <row r="3" spans="1:4">
      <c r="A3" s="13">
        <v>34</v>
      </c>
      <c r="B3" s="12" t="s">
        <v>23</v>
      </c>
      <c r="C3" s="27" t="s">
        <v>337</v>
      </c>
      <c r="D3" s="18">
        <v>38</v>
      </c>
    </row>
    <row r="4" spans="1:4">
      <c r="A4" s="13">
        <v>14</v>
      </c>
      <c r="B4" s="12" t="s">
        <v>23</v>
      </c>
      <c r="C4" s="27" t="s">
        <v>317</v>
      </c>
      <c r="D4" s="18">
        <v>35</v>
      </c>
    </row>
    <row r="5" spans="1:4">
      <c r="A5" s="13">
        <v>32</v>
      </c>
      <c r="B5" s="12" t="s">
        <v>23</v>
      </c>
      <c r="C5" s="27" t="s">
        <v>335</v>
      </c>
      <c r="D5" s="18">
        <v>30</v>
      </c>
    </row>
    <row r="6" spans="1:4">
      <c r="A6" s="13">
        <v>25</v>
      </c>
      <c r="B6" s="12" t="s">
        <v>23</v>
      </c>
      <c r="C6" s="27" t="s">
        <v>328</v>
      </c>
      <c r="D6" s="18">
        <v>27</v>
      </c>
    </row>
    <row r="7" spans="1:4">
      <c r="A7" s="13">
        <v>24</v>
      </c>
      <c r="B7" s="12" t="s">
        <v>23</v>
      </c>
      <c r="C7" s="27" t="s">
        <v>327</v>
      </c>
      <c r="D7" s="18">
        <v>22</v>
      </c>
    </row>
    <row r="8" spans="1:4">
      <c r="A8" s="13">
        <v>1</v>
      </c>
      <c r="B8" s="12" t="s">
        <v>23</v>
      </c>
      <c r="C8" s="27" t="s">
        <v>304</v>
      </c>
      <c r="D8" s="18">
        <v>19</v>
      </c>
    </row>
    <row r="9" spans="1:4">
      <c r="A9" s="13">
        <v>29</v>
      </c>
      <c r="B9" s="12" t="s">
        <v>23</v>
      </c>
      <c r="C9" s="27" t="s">
        <v>332</v>
      </c>
      <c r="D9" s="18">
        <v>14</v>
      </c>
    </row>
    <row r="10" spans="1:4">
      <c r="A10" s="13">
        <v>19</v>
      </c>
      <c r="B10" s="12" t="s">
        <v>23</v>
      </c>
      <c r="C10" s="27" t="s">
        <v>322</v>
      </c>
      <c r="D10" s="18">
        <v>11</v>
      </c>
    </row>
    <row r="11" spans="1:4">
      <c r="A11" s="13">
        <v>12</v>
      </c>
      <c r="B11" s="12" t="s">
        <v>23</v>
      </c>
      <c r="C11" s="27" t="s">
        <v>315</v>
      </c>
      <c r="D11" s="18">
        <v>6</v>
      </c>
    </row>
    <row r="12" spans="1:4" ht="19" thickBot="1">
      <c r="A12" s="9">
        <v>26</v>
      </c>
      <c r="B12" s="8" t="s">
        <v>23</v>
      </c>
      <c r="C12" s="28" t="s">
        <v>329</v>
      </c>
      <c r="D12" s="19">
        <v>3</v>
      </c>
    </row>
    <row r="13" spans="1:4">
      <c r="A13" s="15">
        <v>10</v>
      </c>
      <c r="B13" s="26" t="s">
        <v>17</v>
      </c>
      <c r="C13" s="29" t="s">
        <v>313</v>
      </c>
      <c r="D13" s="20">
        <v>40</v>
      </c>
    </row>
    <row r="14" spans="1:4">
      <c r="A14" s="13">
        <v>37</v>
      </c>
      <c r="B14" s="12" t="s">
        <v>17</v>
      </c>
      <c r="C14" s="27" t="s">
        <v>340</v>
      </c>
      <c r="D14" s="18">
        <v>39</v>
      </c>
    </row>
    <row r="15" spans="1:4">
      <c r="A15" s="13">
        <v>33</v>
      </c>
      <c r="B15" s="12" t="s">
        <v>17</v>
      </c>
      <c r="C15" s="27" t="s">
        <v>336</v>
      </c>
      <c r="D15" s="18">
        <v>34</v>
      </c>
    </row>
    <row r="16" spans="1:4">
      <c r="A16" s="13">
        <v>42</v>
      </c>
      <c r="B16" s="12" t="s">
        <v>17</v>
      </c>
      <c r="C16" s="27"/>
      <c r="D16" s="18">
        <v>31</v>
      </c>
    </row>
    <row r="17" spans="1:4">
      <c r="A17" s="13">
        <v>41</v>
      </c>
      <c r="B17" s="12" t="s">
        <v>17</v>
      </c>
      <c r="C17" s="27" t="s">
        <v>344</v>
      </c>
      <c r="D17" s="18">
        <v>26</v>
      </c>
    </row>
    <row r="18" spans="1:4">
      <c r="A18" s="13">
        <v>22</v>
      </c>
      <c r="B18" s="12" t="s">
        <v>17</v>
      </c>
      <c r="C18" s="27" t="s">
        <v>325</v>
      </c>
      <c r="D18" s="18">
        <v>23</v>
      </c>
    </row>
    <row r="19" spans="1:4">
      <c r="A19" s="13">
        <v>3</v>
      </c>
      <c r="B19" s="12" t="s">
        <v>17</v>
      </c>
      <c r="C19" s="27" t="s">
        <v>306</v>
      </c>
      <c r="D19" s="18">
        <v>18</v>
      </c>
    </row>
    <row r="20" spans="1:4">
      <c r="A20" s="13">
        <v>27</v>
      </c>
      <c r="B20" s="12" t="s">
        <v>17</v>
      </c>
      <c r="C20" s="27" t="s">
        <v>330</v>
      </c>
      <c r="D20" s="18">
        <v>15</v>
      </c>
    </row>
    <row r="21" spans="1:4">
      <c r="A21" s="13">
        <v>31</v>
      </c>
      <c r="B21" s="12" t="s">
        <v>17</v>
      </c>
      <c r="C21" s="27" t="s">
        <v>334</v>
      </c>
      <c r="D21" s="18">
        <v>10</v>
      </c>
    </row>
    <row r="22" spans="1:4">
      <c r="A22" s="13">
        <v>7</v>
      </c>
      <c r="B22" s="12" t="s">
        <v>17</v>
      </c>
      <c r="C22" s="27" t="s">
        <v>310</v>
      </c>
      <c r="D22" s="18">
        <v>7</v>
      </c>
    </row>
    <row r="23" spans="1:4" ht="19" thickBot="1">
      <c r="A23" s="9">
        <v>4</v>
      </c>
      <c r="B23" s="8" t="s">
        <v>17</v>
      </c>
      <c r="C23" s="28" t="s">
        <v>307</v>
      </c>
      <c r="D23" s="19">
        <v>2</v>
      </c>
    </row>
    <row r="24" spans="1:4">
      <c r="A24" s="15">
        <v>28</v>
      </c>
      <c r="B24" s="26" t="s">
        <v>16</v>
      </c>
      <c r="C24" s="29" t="s">
        <v>331</v>
      </c>
      <c r="D24" s="20">
        <v>42</v>
      </c>
    </row>
    <row r="25" spans="1:4">
      <c r="A25" s="13">
        <v>39</v>
      </c>
      <c r="B25" s="12" t="s">
        <v>16</v>
      </c>
      <c r="C25" s="27" t="s">
        <v>342</v>
      </c>
      <c r="D25" s="18">
        <v>37</v>
      </c>
    </row>
    <row r="26" spans="1:4">
      <c r="A26" s="13">
        <v>21</v>
      </c>
      <c r="B26" s="12" t="s">
        <v>16</v>
      </c>
      <c r="C26" s="27" t="s">
        <v>324</v>
      </c>
      <c r="D26" s="18">
        <v>36</v>
      </c>
    </row>
    <row r="27" spans="1:4">
      <c r="A27" s="13">
        <v>13</v>
      </c>
      <c r="B27" s="12" t="s">
        <v>16</v>
      </c>
      <c r="C27" s="27" t="s">
        <v>316</v>
      </c>
      <c r="D27" s="18">
        <v>29</v>
      </c>
    </row>
    <row r="28" spans="1:4">
      <c r="A28" s="13">
        <v>8</v>
      </c>
      <c r="B28" s="12" t="s">
        <v>16</v>
      </c>
      <c r="C28" s="27" t="s">
        <v>311</v>
      </c>
      <c r="D28" s="18">
        <v>28</v>
      </c>
    </row>
    <row r="29" spans="1:4">
      <c r="A29" s="13">
        <v>23</v>
      </c>
      <c r="B29" s="12" t="s">
        <v>16</v>
      </c>
      <c r="C29" s="27" t="s">
        <v>326</v>
      </c>
      <c r="D29" s="18">
        <v>21</v>
      </c>
    </row>
    <row r="30" spans="1:4">
      <c r="A30" s="13">
        <v>30</v>
      </c>
      <c r="B30" s="12" t="s">
        <v>16</v>
      </c>
      <c r="C30" s="27" t="s">
        <v>333</v>
      </c>
      <c r="D30" s="18">
        <v>20</v>
      </c>
    </row>
    <row r="31" spans="1:4">
      <c r="A31" s="13">
        <v>35</v>
      </c>
      <c r="B31" s="12" t="s">
        <v>16</v>
      </c>
      <c r="C31" s="27" t="s">
        <v>338</v>
      </c>
      <c r="D31" s="18">
        <v>13</v>
      </c>
    </row>
    <row r="32" spans="1:4">
      <c r="A32" s="13">
        <v>6</v>
      </c>
      <c r="B32" s="12" t="s">
        <v>16</v>
      </c>
      <c r="C32" s="27" t="s">
        <v>309</v>
      </c>
      <c r="D32" s="18">
        <v>12</v>
      </c>
    </row>
    <row r="33" spans="1:4">
      <c r="A33" s="13">
        <v>11</v>
      </c>
      <c r="B33" s="12" t="s">
        <v>16</v>
      </c>
      <c r="C33" s="27" t="s">
        <v>314</v>
      </c>
      <c r="D33" s="18">
        <v>5</v>
      </c>
    </row>
    <row r="34" spans="1:4" ht="19" thickBot="1">
      <c r="A34" s="13">
        <v>17</v>
      </c>
      <c r="B34" s="12" t="s">
        <v>16</v>
      </c>
      <c r="C34" s="27" t="s">
        <v>320</v>
      </c>
      <c r="D34" s="18">
        <v>4</v>
      </c>
    </row>
    <row r="35" spans="1:4">
      <c r="A35" s="15">
        <v>2</v>
      </c>
      <c r="B35" s="16" t="s">
        <v>2</v>
      </c>
      <c r="C35" s="30" t="s">
        <v>305</v>
      </c>
      <c r="D35" s="21">
        <v>33</v>
      </c>
    </row>
    <row r="36" spans="1:4">
      <c r="A36" s="13">
        <v>38</v>
      </c>
      <c r="B36" s="11" t="s">
        <v>2</v>
      </c>
      <c r="C36" s="31" t="s">
        <v>341</v>
      </c>
      <c r="D36" s="22">
        <v>32</v>
      </c>
    </row>
    <row r="37" spans="1:4">
      <c r="A37" s="13">
        <v>9</v>
      </c>
      <c r="B37" s="11" t="s">
        <v>2</v>
      </c>
      <c r="C37" s="31" t="s">
        <v>312</v>
      </c>
      <c r="D37" s="22">
        <v>25</v>
      </c>
    </row>
    <row r="38" spans="1:4">
      <c r="A38" s="13">
        <v>18</v>
      </c>
      <c r="B38" s="11" t="s">
        <v>2</v>
      </c>
      <c r="C38" s="31" t="s">
        <v>321</v>
      </c>
      <c r="D38" s="22">
        <v>24</v>
      </c>
    </row>
    <row r="39" spans="1:4">
      <c r="A39" s="13">
        <v>20</v>
      </c>
      <c r="B39" s="11" t="s">
        <v>2</v>
      </c>
      <c r="C39" s="31" t="s">
        <v>323</v>
      </c>
      <c r="D39" s="22">
        <v>17</v>
      </c>
    </row>
    <row r="40" spans="1:4">
      <c r="A40" s="13">
        <v>5</v>
      </c>
      <c r="B40" s="11" t="s">
        <v>2</v>
      </c>
      <c r="C40" s="31" t="s">
        <v>308</v>
      </c>
      <c r="D40" s="22">
        <v>16</v>
      </c>
    </row>
    <row r="41" spans="1:4">
      <c r="A41" s="13">
        <v>36</v>
      </c>
      <c r="B41" s="11" t="s">
        <v>2</v>
      </c>
      <c r="C41" s="31" t="s">
        <v>339</v>
      </c>
      <c r="D41" s="22">
        <v>9</v>
      </c>
    </row>
    <row r="42" spans="1:4">
      <c r="A42" s="13">
        <v>15</v>
      </c>
      <c r="B42" s="11" t="s">
        <v>2</v>
      </c>
      <c r="C42" s="31" t="s">
        <v>318</v>
      </c>
      <c r="D42" s="22">
        <v>8</v>
      </c>
    </row>
    <row r="43" spans="1:4">
      <c r="A43" s="13">
        <v>40</v>
      </c>
      <c r="B43" s="11" t="s">
        <v>2</v>
      </c>
      <c r="C43" s="31" t="s">
        <v>343</v>
      </c>
      <c r="D43" s="22">
        <v>1</v>
      </c>
    </row>
    <row r="44" spans="1:4">
      <c r="A44" s="13">
        <v>44</v>
      </c>
      <c r="B44" s="11" t="s">
        <v>2</v>
      </c>
      <c r="C44" s="31" t="s">
        <v>346</v>
      </c>
      <c r="D44" s="22">
        <v>44</v>
      </c>
    </row>
    <row r="45" spans="1:4" ht="19" thickBot="1">
      <c r="A45" s="9">
        <v>43</v>
      </c>
      <c r="B45" s="7" t="s">
        <v>2</v>
      </c>
      <c r="C45" s="32" t="s">
        <v>345</v>
      </c>
      <c r="D45" s="23">
        <v>43</v>
      </c>
    </row>
  </sheetData>
  <sheetProtection algorithmName="SHA-512" hashValue="YgtN+YMPO8vk2pCNaXnwvEUJhBIqGz0cMnfc1eBixiyoRDtnHPjZH6LULYV3C3QAu6zEnkVCFe4kh0VJ7pSHxQ==" saltValue="uHAgXRqOzJwGJSq8if63Mw==" spinCount="100000" sheet="1" objects="1" scenarios="1"/>
  <sortState xmlns:xlrd2="http://schemas.microsoft.com/office/spreadsheetml/2017/richdata2" ref="A2:D47">
    <sortCondition ref="B2:B47"/>
  </sortState>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1D4BC-7D42-40DB-A3D3-8FBB7060E2B7}">
  <dimension ref="A1:A5"/>
  <sheetViews>
    <sheetView workbookViewId="0">
      <selection activeCell="A2" sqref="A2:A5"/>
    </sheetView>
  </sheetViews>
  <sheetFormatPr baseColWidth="10" defaultColWidth="8.83203125" defaultRowHeight="18"/>
  <sheetData>
    <row r="1" spans="1:1">
      <c r="A1" t="s">
        <v>293</v>
      </c>
    </row>
    <row r="2" spans="1:1">
      <c r="A2" t="s">
        <v>291</v>
      </c>
    </row>
    <row r="3" spans="1:1">
      <c r="A3" t="s">
        <v>290</v>
      </c>
    </row>
    <row r="4" spans="1:1">
      <c r="A4" t="s">
        <v>289</v>
      </c>
    </row>
    <row r="5" spans="1:1">
      <c r="A5" t="s">
        <v>288</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79735E-228A-40F0-9313-1859F37453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7</vt:i4>
      </vt:variant>
    </vt:vector>
  </HeadingPairs>
  <TitlesOfParts>
    <vt:vector size="7" baseType="lpstr">
      <vt:lpstr>722講義室</vt:lpstr>
      <vt:lpstr>731講義室</vt:lpstr>
      <vt:lpstr>732講義室</vt:lpstr>
      <vt:lpstr>733講義室</vt:lpstr>
      <vt:lpstr>まとめ</vt:lpstr>
      <vt:lpstr>発表順</vt:lpstr>
      <vt:lpstr>プルダウン用隠し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関根　晃太</dc:creator>
  <cp:lastModifiedBy>有本　泰子</cp:lastModifiedBy>
  <dcterms:created xsi:type="dcterms:W3CDTF">2026-05-13T03:30:54Z</dcterms:created>
  <dcterms:modified xsi:type="dcterms:W3CDTF">2026-05-19T12:23:40Z</dcterms:modified>
</cp:coreProperties>
</file>